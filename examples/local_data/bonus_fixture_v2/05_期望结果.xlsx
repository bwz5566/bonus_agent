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886e3e847041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fabe7abc500145c0"/>
    <x:sheet xmlns:r="http://schemas.openxmlformats.org/officeDocument/2006/relationships" name="员工结果" sheetId="2" r:id="R2b4c2436e5964049"/>
    <x:sheet xmlns:r="http://schemas.openxmlformats.org/officeDocument/2006/relationships" name="项目计算" sheetId="3" r:id="R793ff2e2e26a4637"/>
    <x:sheet xmlns:r="http://schemas.openxmlformats.org/officeDocument/2006/relationships" name="分配计算" sheetId="4" r:id="R82c482e8741b42bd"/>
    <x:sheet xmlns:r="http://schemas.openxmlformats.org/officeDocument/2006/relationships" name="制度参数" sheetId="5" r:id="R1035d39e26eb472a"/>
    <x:sheet xmlns:r="http://schemas.openxmlformats.org/officeDocument/2006/relationships" name="验收用例" sheetId="6" r:id="R690ed584a77042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;(#,##0.00);0.00"/>
    <x:numFmt numFmtId="201" formatCode="0.00"/>
    <x:numFmt numFmtId="202" formatCode="0%"/>
    <x:numFmt numFmtId="203" formatCode="0.0"/>
    <x:numFmt numFmtId="204" formatCode="0.000000"/>
    <x:numFmt numFmtId="205" formatCode="0.0000000000"/>
  </x:numFmts>
  <x:fonts count="8">
    <x:font>
      <x:sz val="11"/>
      <x:name val="Carlito"/>
    </x:font>
    <x:font>
      <x:sz val="10"/>
      <x:color rgb="FF173D4A"/>
      <x:name val="Microsoft YaHei"/>
    </x:font>
    <x:font>
      <x:b/>
      <x:sz val="15"/>
      <x:color rgb="FFFFFFFF"/>
      <x:name val="Microsoft YaHei"/>
    </x:font>
    <x:font>
      <x:sz val="10"/>
      <x:color rgb="FF5C6C73"/>
      <x:name val="Microsoft YaHei"/>
    </x:font>
    <x:font>
      <x:b/>
      <x:sz val="10"/>
      <x:color rgb="FFFFFFFF"/>
      <x:name val="Microsoft YaHei"/>
    </x:font>
    <x:font>
      <x:sz val="10"/>
      <x:color rgb="FF1A52A3"/>
      <x:name val="Microsoft YaHei"/>
    </x:font>
    <x:font>
      <x:sz val="10"/>
      <x:color rgb="FF22714D"/>
      <x:name val="Microsoft YaHei"/>
    </x:font>
    <x:font>
      <x:sz val="10"/>
      <x:color rgb="FF5C6C7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D4A"/>
      </x:patternFill>
    </x:fill>
    <x:fill>
      <x:patternFill patternType="solid">
        <x:fgColor rgb="FF206B70"/>
      </x:patternFill>
    </x:fill>
    <x:fill>
      <x:patternFill patternType="solid">
        <x:fgColor rgb="FFEDF4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5" fillId="0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6" fillId="4" borderId="0" xfId="0" applyNumberFormat="1" applyFont="1" applyFill="1" applyBorder="1"/>
    <x:xf numFmtId="200" fontId="1" fillId="0" borderId="0" xfId="0" applyNumberFormat="1" applyFont="1" applyFill="1" applyBorder="1"/>
    <x:xf numFmtId="200" fontId="1" fillId="4" borderId="0" xfId="0" applyNumberFormat="1" applyFont="1" applyFill="1" applyBorder="1"/>
    <x:xf numFmtId="200" fontId="6" fillId="0" borderId="0" xfId="0" applyNumberFormat="1" applyFont="1" applyFill="1" applyBorder="1"/>
    <x:xf numFmtId="200" fontId="6" fillId="4" borderId="0" xfId="0" applyNumberFormat="1" applyFont="1" applyFill="1" applyBorder="1"/>
    <x:xf numFmtId="201" fontId="1" fillId="0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205" fontId="1" fillId="0" borderId="0" xfId="0" applyNumberFormat="1" applyFont="1" applyFill="1" applyBorder="1"/>
    <x:xf numFmtId="205" fontId="1" fillId="4" borderId="0" xfId="0" applyNumberFormat="1" applyFont="1" applyFill="1" applyBorder="1"/>
    <x:xf numFmtId="202" fontId="6" fillId="0" borderId="0" xfId="0" applyNumberFormat="1" applyFont="1" applyFill="1" applyBorder="1"/>
    <x:xf numFmtId="202" fontId="6" fillId="4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3839da16ec424d" /><Relationship Type="http://schemas.openxmlformats.org/officeDocument/2006/relationships/theme" Target="/xl/theme/theme1.xml" Id="Rf4b13892c63f4e24" /><Relationship Type="http://schemas.openxmlformats.org/officeDocument/2006/relationships/sharedStrings" Target="/xl/sharedStrings.xml" Id="R7d05081e3d4a4744" /><Relationship Type="http://schemas.openxmlformats.org/officeDocument/2006/relationships/worksheet" Target="/xl/worksheets/sheet1.xml" Id="Rfabe7abc500145c0" /><Relationship Type="http://schemas.openxmlformats.org/officeDocument/2006/relationships/worksheet" Target="/xl/worksheets/sheet2.xml" Id="R2b4c2436e5964049" /><Relationship Type="http://schemas.openxmlformats.org/officeDocument/2006/relationships/worksheet" Target="/xl/worksheets/sheet3.xml" Id="R793ff2e2e26a4637" /><Relationship Type="http://schemas.openxmlformats.org/officeDocument/2006/relationships/worksheet" Target="/xl/worksheets/sheet4.xml" Id="R82c482e8741b42bd" /><Relationship Type="http://schemas.openxmlformats.org/officeDocument/2006/relationships/worksheet" Target="/xl/worksheets/sheet5.xml" Id="R1035d39e26eb472a" /><Relationship Type="http://schemas.openxmlformats.org/officeDocument/2006/relationships/worksheet" Target="/xl/worksheets/sheet6.xml" Id="R690ed584a77042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0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21" hidden="0" customWidth="1"/>
    <x:col min="8" max="8" width="21" hidden="0" customWidth="1"/>
  </x:cols>
  <x:sheetData>
    <x:row r="1" ht="32" customHeight="1">
      <x:c r="A1" s="3" t="str">
        <x:v>项目交付结算奖｜三轮期望结果</x:v>
      </x:c>
      <x:c r="B1" s="3"/>
      <x:c r="C1" s="3"/>
      <x:c r="D1" s="3"/>
      <x:c r="E1" s="3"/>
      <x:c r="F1" s="3"/>
      <x:c r="G1" s="3"/>
      <x:c r="H1" s="3"/>
    </x:row>
    <x:row r="2" ht="34" customHeight="1">
      <x:c r="A2" s="5" t="str">
        <x:v>2026年下半年。V1、V2、V3为同批奖金不同版本，不得相加。金额单位：元。</x:v>
      </x:c>
      <x:c r="B2" s="5"/>
      <x:c r="C2" s="5"/>
      <x:c r="D2" s="5"/>
      <x:c r="E2" s="5"/>
      <x:c r="F2" s="5"/>
      <x:c r="G2" s="5"/>
      <x:c r="H2" s="5"/>
    </x:row>
    <x:row r="3">
      <x:c r="A3" s="1"/>
      <x:c r="B3" s="1"/>
      <x:c r="C3" s="1"/>
      <x:c r="D3" s="1"/>
      <x:c r="E3" s="1"/>
      <x:c r="F3" s="1"/>
      <x:c r="G3" s="1"/>
      <x:c r="H3" s="1"/>
    </x:row>
    <x:row r="4" ht="34" customHeight="1">
      <x:c r="A4" s="9" t="str">
        <x:v>版本</x:v>
      </x:c>
      <x:c r="B4" s="9" t="str">
        <x:v>计算阶段</x:v>
      </x:c>
      <x:c r="C4" s="9" t="str">
        <x:v>应得总包</x:v>
      </x:c>
      <x:c r="D4" s="9" t="str">
        <x:v>本次可发</x:v>
      </x:c>
      <x:c r="E4" s="9" t="str">
        <x:v>暂缓</x:v>
      </x:c>
      <x:c r="F4" s="9" t="str">
        <x:v>已发抵扣</x:v>
      </x:c>
      <x:c r="G4" s="9" t="str">
        <x:v>超发待核对</x:v>
      </x:c>
      <x:c r="H4" s="9" t="str">
        <x:v>资金勾稽差额</x:v>
      </x:c>
    </x:row>
    <x:row r="5" ht="30" customHeight="1">
      <x:c r="A5" s="1" t="str">
        <x:v>V1</x:v>
      </x:c>
      <x:c r="B5" s="1" t="str">
        <x:v>原规则及首轮数据</x:v>
      </x:c>
      <x:c r="C5" s="15" t="n">
        <x:f>SUMIFS('项目计算'!$R$5:$R$40,'项目计算'!$A$5:$A$40,A5)</x:f>
        <x:v>75529</x:v>
      </x:c>
      <x:c r="D5" s="15" t="n">
        <x:f>SUMIFS('员工结果'!$J$5:$J$58,'员工结果'!$A$5:$A$58,A5)</x:f>
        <x:v>57295.380000000005</x:v>
      </x:c>
      <x:c r="E5" s="15" t="n">
        <x:f>SUMIFS('员工结果'!$G$5:$G$58,'员工结果'!$A$5:$A$58,A5)</x:f>
        <x:v>9725.8</x:v>
      </x:c>
      <x:c r="F5" s="15" t="n">
        <x:f>SUMIFS('员工结果'!$I$5:$I$58,'员工结果'!$A$5:$A$58,A5)</x:f>
        <x:v>8507.82</x:v>
      </x:c>
      <x:c r="G5" s="15" t="n">
        <x:f>SUMIFS('员工结果'!$K$5:$K$58,'员工结果'!$A$5:$A$58,A5)</x:f>
        <x:v>29192.18</x:v>
      </x:c>
      <x:c r="H5" s="15" t="n">
        <x:f>ROUND(C5-D5-E5-F5,2)</x:f>
        <x:v>0</x:v>
      </x:c>
    </x:row>
    <x:row r="6" ht="30" customHeight="1">
      <x:c r="A6" s="10" t="str">
        <x:v>V2</x:v>
      </x:c>
      <x:c r="B6" s="10" t="str">
        <x:v>补资料并更正迟延规则</x:v>
      </x:c>
      <x:c r="C6" s="16" t="n">
        <x:f>SUMIFS('项目计算'!$R$5:$R$40,'项目计算'!$A$5:$A$40,A6)</x:f>
        <x:v>120601</x:v>
      </x:c>
      <x:c r="D6" s="16" t="n">
        <x:f>SUMIFS('员工结果'!$J$5:$J$58,'员工结果'!$A$5:$A$58,A6)</x:f>
        <x:v>90546.57999999999</x:v>
      </x:c>
      <x:c r="E6" s="16" t="n">
        <x:f>SUMIFS('员工结果'!$G$5:$G$58,'员工结果'!$A$5:$A$58,A6)</x:f>
        <x:v>17527</x:v>
      </x:c>
      <x:c r="F6" s="16" t="n">
        <x:f>SUMIFS('员工结果'!$I$5:$I$58,'员工结果'!$A$5:$A$58,A6)</x:f>
        <x:v>12527.42</x:v>
      </x:c>
      <x:c r="G6" s="16" t="n">
        <x:f>SUMIFS('员工结果'!$K$5:$K$58,'员工结果'!$A$5:$A$58,A6)</x:f>
        <x:v>25172.58</x:v>
      </x:c>
      <x:c r="H6" s="16" t="n">
        <x:f>ROUND(C6-D6-E6-F6,2)</x:f>
        <x:v>0</x:v>
      </x:c>
    </x:row>
    <x:row r="7" ht="30" customHeight="1">
      <x:c r="A7" s="1" t="str">
        <x:v>V3</x:v>
      </x:c>
      <x:c r="B7" s="1" t="str">
        <x:v>V2基础上执行人工指定</x:v>
      </x:c>
      <x:c r="C7" s="15" t="n">
        <x:f>SUMIFS('项目计算'!$R$5:$R$40,'项目计算'!$A$5:$A$40,A7)</x:f>
        <x:v>120601</x:v>
      </x:c>
      <x:c r="D7" s="15" t="n">
        <x:f>SUMIFS('员工结果'!$J$5:$J$58,'员工结果'!$A$5:$A$58,A7)</x:f>
        <x:v>91100.59</x:v>
      </x:c>
      <x:c r="E7" s="15" t="n">
        <x:f>SUMIFS('员工结果'!$G$5:$G$58,'员工结果'!$A$5:$A$58,A7)</x:f>
        <x:v>17527.010000000002</x:v>
      </x:c>
      <x:c r="F7" s="15" t="n">
        <x:f>SUMIFS('员工结果'!$I$5:$I$58,'员工结果'!$A$5:$A$58,A7)</x:f>
        <x:v>11973.400000000001</x:v>
      </x:c>
      <x:c r="G7" s="15" t="n">
        <x:f>SUMIFS('员工结果'!$K$5:$K$58,'员工结果'!$A$5:$A$58,A7)</x:f>
        <x:v>25726.6</x:v>
      </x:c>
      <x:c r="H7" s="15" t="n">
        <x:f>ROUND(C7-D7-E7-F7,2)</x:f>
        <x:v>0</x:v>
      </x:c>
    </x:row>
    <x:row r="9" ht="36" customHeight="1">
      <x:c r="A9" s="32" t="str">
        <x:v>V3项目总包与V2相同；人员金额变化后，逐条可发上限四舍五入可使暂缓合计差0.01元。</x:v>
      </x:c>
      <x:c r="B9" s="32"/>
      <x:c r="C9" s="32"/>
      <x:c r="D9" s="32"/>
      <x:c r="E9" s="32"/>
      <x:c r="F9" s="32"/>
      <x:c r="G9" s="32"/>
      <x:c r="H9" s="32"/>
    </x:row>
  </x:sheetData>
  <x:mergeCells>
    <x:mergeCell ref="A1:H1"/>
    <x:mergeCell ref="A2:H2"/>
    <x:mergeCell ref="A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9" hidden="0" customWidth="1"/>
    <x:col min="3" max="3" width="23" hidden="0" customWidth="1"/>
    <x:col min="4" max="4" width="22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22" hidden="0" customWidth="1"/>
  </x:cols>
  <x:sheetData>
    <x:row r="1" ht="32" customHeight="1">
      <x:c r="A1" s="3" t="str">
        <x:v>员工发放期望结果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5" t="str">
        <x:v>先跨项目汇总再抵扣个人预发。应得＝本次可发＋暂缓＋抵扣，超发仅登记。</x:v>
      </x:c>
      <x:c r="B2" s="5"/>
      <x:c r="C2" s="5"/>
      <x:c r="D2" s="5"/>
      <x:c r="E2" s="5"/>
      <x:c r="F2" s="5"/>
      <x:c r="G2" s="5"/>
      <x:c r="H2" s="5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4" customHeight="1">
      <x:c r="A4" s="9" t="str">
        <x:v>版本</x:v>
      </x:c>
      <x:c r="B4" s="9" t="str">
        <x:v>工号</x:v>
      </x:c>
      <x:c r="C4" s="9" t="str">
        <x:v>姓名</x:v>
      </x:c>
      <x:c r="D4" s="9" t="str">
        <x:v>部门</x:v>
      </x:c>
      <x:c r="E4" s="9" t="str">
        <x:v>应得</x:v>
      </x:c>
      <x:c r="F4" s="9" t="str">
        <x:v>可发上限</x:v>
      </x:c>
      <x:c r="G4" s="9" t="str">
        <x:v>暂缓</x:v>
      </x:c>
      <x:c r="H4" s="9" t="str">
        <x:v>已预发</x:v>
      </x:c>
      <x:c r="I4" s="9" t="str">
        <x:v>抵扣</x:v>
      </x:c>
      <x:c r="J4" s="9" t="str">
        <x:v>本次可发</x:v>
      </x:c>
      <x:c r="K4" s="9" t="str">
        <x:v>超发待核对</x:v>
      </x:c>
    </x:row>
    <x:row r="5" ht="22" customHeight="1">
      <x:c r="A5" s="1" t="str">
        <x:v>V1</x:v>
      </x:c>
      <x:c r="B5" s="1" t="str">
        <x:v>U001</x:v>
      </x:c>
      <x:c r="C5" s="1" t="str">
        <x:v>测试人员01</x:v>
      </x:c>
      <x:c r="D5" s="1" t="str">
        <x:v>实施一部</x:v>
      </x:c>
      <x:c r="E5" s="15" t="n">
        <x:f>SUMIFS('分配计算'!$T$5:$T$148,'分配计算'!$A$5:$A$148,A5,'分配计算'!$D$5:$D$148,B5)</x:f>
        <x:v>3034.65</x:v>
      </x:c>
      <x:c r="F5" s="15" t="n">
        <x:f>SUMIFS('分配计算'!$V$5:$V$148,'分配计算'!$A$5:$A$148,A5,'分配计算'!$D$5:$D$148,B5)</x:f>
        <x:v>2427.7200000000003</x:v>
      </x:c>
      <x:c r="G5" s="15" t="n">
        <x:f>SUMIFS('分配计算'!$W$5:$W$148,'分配计算'!$A$5:$A$148,A5,'分配计算'!$D$5:$D$148,B5)</x:f>
        <x:v>606.93</x:v>
      </x:c>
      <x:c r="H5" s="15" t="n">
        <x:v>30000</x:v>
      </x:c>
      <x:c r="I5" s="15" t="n">
        <x:f>MIN(F5,H5)</x:f>
        <x:v>2427.7200000000003</x:v>
      </x:c>
      <x:c r="J5" s="15" t="n">
        <x:f>F5-I5</x:f>
        <x:v>0</x:v>
      </x:c>
      <x:c r="K5" s="15" t="n">
        <x:f>MAX(H5-F5,0)</x:f>
        <x:v>27572.28</x:v>
      </x:c>
    </x:row>
    <x:row r="6" ht="22" customHeight="1">
      <x:c r="A6" s="10" t="str">
        <x:v>V1</x:v>
      </x:c>
      <x:c r="B6" s="10" t="str">
        <x:v>U002</x:v>
      </x:c>
      <x:c r="C6" s="10" t="str">
        <x:v>测试人员02</x:v>
      </x:c>
      <x:c r="D6" s="10" t="str">
        <x:v>实施二部</x:v>
      </x:c>
      <x:c r="E6" s="16" t="n">
        <x:f>SUMIFS('分配计算'!$T$5:$T$148,'分配计算'!$A$5:$A$148,A6,'分配计算'!$D$5:$D$148,B6)</x:f>
        <x:v>1874.69</x:v>
      </x:c>
      <x:c r="F6" s="16" t="n">
        <x:f>SUMIFS('分配计算'!$V$5:$V$148,'分配计算'!$A$5:$A$148,A6,'分配计算'!$D$5:$D$148,B6)</x:f>
        <x:v>1499.75</x:v>
      </x:c>
      <x:c r="G6" s="16" t="n">
        <x:f>SUMIFS('分配计算'!$W$5:$W$148,'分配计算'!$A$5:$A$148,A6,'分配计算'!$D$5:$D$148,B6)</x:f>
        <x:v>374.94000000000005</x:v>
      </x:c>
      <x:c r="H6" s="16" t="n">
        <x:v>500</x:v>
      </x:c>
      <x:c r="I6" s="16" t="n">
        <x:f>MIN(F6,H6)</x:f>
        <x:v>500</x:v>
      </x:c>
      <x:c r="J6" s="16" t="n">
        <x:f>F6-I6</x:f>
        <x:v>999.75</x:v>
      </x:c>
      <x:c r="K6" s="16" t="n">
        <x:f>MAX(H6-F6,0)</x:f>
        <x:v>0</x:v>
      </x:c>
    </x:row>
    <x:row r="7" ht="22" customHeight="1">
      <x:c r="A7" s="1" t="str">
        <x:v>V1</x:v>
      </x:c>
      <x:c r="B7" s="1" t="str">
        <x:v>U003</x:v>
      </x:c>
      <x:c r="C7" s="1" t="str">
        <x:v>测试人员03</x:v>
      </x:c>
      <x:c r="D7" s="1" t="str">
        <x:v>技术中心</x:v>
      </x:c>
      <x:c r="E7" s="15" t="n">
        <x:f>SUMIFS('分配计算'!$T$5:$T$148,'分配计算'!$A$5:$A$148,A7,'分配计算'!$D$5:$D$148,B7)</x:f>
        <x:v>1350.12</x:v>
      </x:c>
      <x:c r="F7" s="15" t="n">
        <x:f>SUMIFS('分配计算'!$V$5:$V$148,'分配计算'!$A$5:$A$148,A7,'分配计算'!$D$5:$D$148,B7)</x:f>
        <x:v>1080.1</x:v>
      </x:c>
      <x:c r="G7" s="15" t="n">
        <x:f>SUMIFS('分配计算'!$W$5:$W$148,'分配计算'!$A$5:$A$148,A7,'分配计算'!$D$5:$D$148,B7)</x:f>
        <x:v>270.02</x:v>
      </x:c>
      <x:c r="H7" s="15" t="n">
        <x:v>1200</x:v>
      </x:c>
      <x:c r="I7" s="15" t="n">
        <x:f>MIN(F7,H7)</x:f>
        <x:v>1080.1</x:v>
      </x:c>
      <x:c r="J7" s="15" t="n">
        <x:f>F7-I7</x:f>
        <x:v>0</x:v>
      </x:c>
      <x:c r="K7" s="15" t="n">
        <x:f>MAX(H7-F7,0)</x:f>
        <x:v>119.90000000000009</x:v>
      </x:c>
    </x:row>
    <x:row r="8" ht="22" customHeight="1">
      <x:c r="A8" s="10" t="str">
        <x:v>V1</x:v>
      </x:c>
      <x:c r="B8" s="10" t="str">
        <x:v>U004</x:v>
      </x:c>
      <x:c r="C8" s="10" t="str">
        <x:v>测试人员04</x:v>
      </x:c>
      <x:c r="D8" s="10" t="str">
        <x:v>实施一部</x:v>
      </x:c>
      <x:c r="E8" s="16" t="n">
        <x:f>SUMIFS('分配计算'!$T$5:$T$148,'分配计算'!$A$5:$A$148,A8,'分配计算'!$D$5:$D$148,B8)</x:f>
        <x:v>10150.810000000001</x:v>
      </x:c>
      <x:c r="F8" s="16" t="n">
        <x:f>SUMIFS('分配计算'!$V$5:$V$148,'分配计算'!$A$5:$A$148,A8,'分配计算'!$D$5:$D$148,B8)</x:f>
        <x:v>9437.32</x:v>
      </x:c>
      <x:c r="G8" s="16" t="n">
        <x:f>SUMIFS('分配计算'!$W$5:$W$148,'分配计算'!$A$5:$A$148,A8,'分配计算'!$D$5:$D$148,B8)</x:f>
        <x:v>713.4900000000002</x:v>
      </x:c>
      <x:c r="H8" s="16" t="n">
        <x:v>0</x:v>
      </x:c>
      <x:c r="I8" s="16" t="n">
        <x:f>MIN(F8,H8)</x:f>
        <x:v>0</x:v>
      </x:c>
      <x:c r="J8" s="16" t="n">
        <x:f>F8-I8</x:f>
        <x:v>9437.32</x:v>
      </x:c>
      <x:c r="K8" s="16" t="n">
        <x:f>MAX(H8-F8,0)</x:f>
        <x:v>0</x:v>
      </x:c>
    </x:row>
    <x:row r="9" ht="22" customHeight="1">
      <x:c r="A9" s="1" t="str">
        <x:v>V1</x:v>
      </x:c>
      <x:c r="B9" s="1" t="str">
        <x:v>U005</x:v>
      </x:c>
      <x:c r="C9" s="1" t="str">
        <x:v>测试人员05</x:v>
      </x:c>
      <x:c r="D9" s="1" t="str">
        <x:v>实施二部</x:v>
      </x:c>
      <x:c r="E9" s="15" t="n">
        <x:f>SUMIFS('分配计算'!$T$5:$T$148,'分配计算'!$A$5:$A$148,A9,'分配计算'!$D$5:$D$148,B9)</x:f>
        <x:v>5249.35</x:v>
      </x:c>
      <x:c r="F9" s="15" t="n">
        <x:f>SUMIFS('分配计算'!$V$5:$V$148,'分配计算'!$A$5:$A$148,A9,'分配计算'!$D$5:$D$148,B9)</x:f>
        <x:v>4920.63</x:v>
      </x:c>
      <x:c r="G9" s="15" t="n">
        <x:f>SUMIFS('分配计算'!$W$5:$W$148,'分配计算'!$A$5:$A$148,A9,'分配计算'!$D$5:$D$148,B9)</x:f>
        <x:v>328.72</x:v>
      </x:c>
      <x:c r="H9" s="15" t="n">
        <x:v>300</x:v>
      </x:c>
      <x:c r="I9" s="15" t="n">
        <x:f>MIN(F9,H9)</x:f>
        <x:v>300</x:v>
      </x:c>
      <x:c r="J9" s="15" t="n">
        <x:f>F9-I9</x:f>
        <x:v>4620.63</x:v>
      </x:c>
      <x:c r="K9" s="15" t="n">
        <x:f>MAX(H9-F9,0)</x:f>
        <x:v>0</x:v>
      </x:c>
    </x:row>
    <x:row r="10" ht="22" customHeight="1">
      <x:c r="A10" s="10" t="str">
        <x:v>V1</x:v>
      </x:c>
      <x:c r="B10" s="10" t="str">
        <x:v>U006</x:v>
      </x:c>
      <x:c r="C10" s="10" t="str">
        <x:v>测试人员06</x:v>
      </x:c>
      <x:c r="D10" s="10" t="str">
        <x:v>技术中心</x:v>
      </x:c>
      <x:c r="E10" s="16" t="n">
        <x:f>SUMIFS('分配计算'!$T$5:$T$148,'分配计算'!$A$5:$A$148,A10,'分配计算'!$D$5:$D$148,B10)</x:f>
        <x:v>4862.77</x:v>
      </x:c>
      <x:c r="F10" s="16" t="n">
        <x:f>SUMIFS('分配计算'!$V$5:$V$148,'分配计算'!$A$5:$A$148,A10,'分配计算'!$D$5:$D$148,B10)</x:f>
        <x:v>4628.18</x:v>
      </x:c>
      <x:c r="G10" s="16" t="n">
        <x:f>SUMIFS('分配计算'!$W$5:$W$148,'分配计算'!$A$5:$A$148,A10,'分配计算'!$D$5:$D$148,B10)</x:f>
        <x:v>234.59000000000003</x:v>
      </x:c>
      <x:c r="H10" s="16" t="n">
        <x:v>0</x:v>
      </x:c>
      <x:c r="I10" s="16" t="n">
        <x:f>MIN(F10,H10)</x:f>
        <x:v>0</x:v>
      </x:c>
      <x:c r="J10" s="16" t="n">
        <x:f>F10-I10</x:f>
        <x:v>4628.18</x:v>
      </x:c>
      <x:c r="K10" s="16" t="n">
        <x:f>MAX(H10-F10,0)</x:f>
        <x:v>0</x:v>
      </x:c>
    </x:row>
    <x:row r="11" ht="22" customHeight="1">
      <x:c r="A11" s="1" t="str">
        <x:v>V1</x:v>
      </x:c>
      <x:c r="B11" s="1" t="str">
        <x:v>U007</x:v>
      </x:c>
      <x:c r="C11" s="1" t="str">
        <x:v>测试人员07</x:v>
      </x:c>
      <x:c r="D11" s="1" t="str">
        <x:v>实施一部</x:v>
      </x:c>
      <x:c r="E11" s="15" t="n">
        <x:f>SUMIFS('分配计算'!$T$5:$T$148,'分配计算'!$A$5:$A$148,A11,'分配计算'!$D$5:$D$148,B11)</x:f>
        <x:v>14756.119999999999</x:v>
      </x:c>
      <x:c r="F11" s="15" t="n">
        <x:f>SUMIFS('分配计算'!$V$5:$V$148,'分配计算'!$A$5:$A$148,A11,'分配计算'!$D$5:$D$148,B11)</x:f>
        <x:v>12809.11</x:v>
      </x:c>
      <x:c r="G11" s="15" t="n">
        <x:f>SUMIFS('分配计算'!$W$5:$W$148,'分配计算'!$A$5:$A$148,A11,'分配计算'!$D$5:$D$148,B11)</x:f>
        <x:v>1947.0099999999993</x:v>
      </x:c>
      <x:c r="H11" s="15" t="n">
        <x:v>500</x:v>
      </x:c>
      <x:c r="I11" s="15" t="n">
        <x:f>MIN(F11,H11)</x:f>
        <x:v>500</x:v>
      </x:c>
      <x:c r="J11" s="15" t="n">
        <x:f>F11-I11</x:f>
        <x:v>12309.11</x:v>
      </x:c>
      <x:c r="K11" s="15" t="n">
        <x:f>MAX(H11-F11,0)</x:f>
        <x:v>0</x:v>
      </x:c>
    </x:row>
    <x:row r="12" ht="22" customHeight="1">
      <x:c r="A12" s="10" t="str">
        <x:v>V1</x:v>
      </x:c>
      <x:c r="B12" s="10" t="str">
        <x:v>U008</x:v>
      </x:c>
      <x:c r="C12" s="10" t="str">
        <x:v>测试人员08</x:v>
      </x:c>
      <x:c r="D12" s="10" t="str">
        <x:v>实施二部</x:v>
      </x:c>
      <x:c r="E12" s="16" t="n">
        <x:f>SUMIFS('分配计算'!$T$5:$T$148,'分配计算'!$A$5:$A$148,A12,'分配计算'!$D$5:$D$148,B12)</x:f>
        <x:v>12351.71</x:v>
      </x:c>
      <x:c r="F12" s="16" t="n">
        <x:f>SUMIFS('分配计算'!$V$5:$V$148,'分配计算'!$A$5:$A$148,A12,'分配计算'!$D$5:$D$148,B12)</x:f>
        <x:v>9881.37</x:v>
      </x:c>
      <x:c r="G12" s="16" t="n">
        <x:f>SUMIFS('分配计算'!$W$5:$W$148,'分配计算'!$A$5:$A$148,A12,'分配计算'!$D$5:$D$148,B12)</x:f>
        <x:v>2470.3399999999983</x:v>
      </x:c>
      <x:c r="H12" s="16" t="n">
        <x:v>1200</x:v>
      </x:c>
      <x:c r="I12" s="16" t="n">
        <x:f>MIN(F12,H12)</x:f>
        <x:v>1200</x:v>
      </x:c>
      <x:c r="J12" s="16" t="n">
        <x:f>F12-I12</x:f>
        <x:v>8681.37</x:v>
      </x:c>
      <x:c r="K12" s="16" t="n">
        <x:f>MAX(H12-F12,0)</x:f>
        <x:v>0</x:v>
      </x:c>
    </x:row>
    <x:row r="13" ht="22" customHeight="1">
      <x:c r="A13" s="1" t="str">
        <x:v>V1</x:v>
      </x:c>
      <x:c r="B13" s="1" t="str">
        <x:v>U009</x:v>
      </x:c>
      <x:c r="C13" s="1" t="str">
        <x:v>测试人员09</x:v>
      </x:c>
      <x:c r="D13" s="1" t="str">
        <x:v>技术中心</x:v>
      </x:c>
      <x:c r="E13" s="15" t="n">
        <x:f>SUMIFS('分配计算'!$T$5:$T$148,'分配计算'!$A$5:$A$148,A13,'分配计算'!$D$5:$D$148,B13)</x:f>
        <x:v>12528.24</x:v>
      </x:c>
      <x:c r="F13" s="15" t="n">
        <x:f>SUMIFS('分配计算'!$V$5:$V$148,'分配计算'!$A$5:$A$148,A13,'分配计算'!$D$5:$D$148,B13)</x:f>
        <x:v>10022.59</x:v>
      </x:c>
      <x:c r="G13" s="15" t="n">
        <x:f>SUMIFS('分配计算'!$W$5:$W$148,'分配计算'!$A$5:$A$148,A13,'分配计算'!$D$5:$D$148,B13)</x:f>
        <x:v>2505.6499999999996</x:v>
      </x:c>
      <x:c r="H13" s="15" t="n">
        <x:v>0</x:v>
      </x:c>
      <x:c r="I13" s="15" t="n">
        <x:f>MIN(F13,H13)</x:f>
        <x:v>0</x:v>
      </x:c>
      <x:c r="J13" s="15" t="n">
        <x:f>F13-I13</x:f>
        <x:v>10022.59</x:v>
      </x:c>
      <x:c r="K13" s="15" t="n">
        <x:f>MAX(H13-F13,0)</x:f>
        <x:v>0</x:v>
      </x:c>
    </x:row>
    <x:row r="14" ht="22" customHeight="1">
      <x:c r="A14" s="10" t="str">
        <x:v>V1</x:v>
      </x:c>
      <x:c r="B14" s="10" t="str">
        <x:v>U010</x:v>
      </x:c>
      <x:c r="C14" s="10" t="str">
        <x:v>测试人员10</x:v>
      </x:c>
      <x:c r="D14" s="10" t="str">
        <x:v>实施一部</x:v>
      </x:c>
      <x:c r="E14" s="16" t="n">
        <x:f>SUMIFS('分配计算'!$T$5:$T$148,'分配计算'!$A$5:$A$148,A14,'分配计算'!$D$5:$D$148,B14)</x:f>
        <x:v>2030.46</x:v>
      </x:c>
      <x:c r="F14" s="16" t="n">
        <x:f>SUMIFS('分配计算'!$V$5:$V$148,'分配计算'!$A$5:$A$148,A14,'分配计算'!$D$5:$D$148,B14)</x:f>
        <x:v>2030.46</x:v>
      </x:c>
      <x:c r="G14" s="16" t="n">
        <x:f>SUMIFS('分配计算'!$W$5:$W$148,'分配计算'!$A$5:$A$148,A14,'分配计算'!$D$5:$D$148,B14)</x:f>
        <x:v>0</x:v>
      </x:c>
      <x:c r="H14" s="16" t="n">
        <x:v>300</x:v>
      </x:c>
      <x:c r="I14" s="16" t="n">
        <x:f>MIN(F14,H14)</x:f>
        <x:v>300</x:v>
      </x:c>
      <x:c r="J14" s="16" t="n">
        <x:f>F14-I14</x:f>
        <x:v>1730.46</x:v>
      </x:c>
      <x:c r="K14" s="16" t="n">
        <x:f>MAX(H14-F14,0)</x:f>
        <x:v>0</x:v>
      </x:c>
    </x:row>
    <x:row r="15" ht="22" customHeight="1">
      <x:c r="A15" s="1" t="str">
        <x:v>V1</x:v>
      </x:c>
      <x:c r="B15" s="1" t="str">
        <x:v>U011</x:v>
      </x:c>
      <x:c r="C15" s="1" t="str">
        <x:v>测试人员11</x:v>
      </x:c>
      <x:c r="D15" s="1" t="str">
        <x:v>实施二部</x:v>
      </x:c>
      <x:c r="E15" s="15" t="n">
        <x:f>SUMIFS('分配计算'!$T$5:$T$148,'分配计算'!$A$5:$A$148,A15,'分配计算'!$D$5:$D$148,B15)</x:f>
        <x:v>2730.51</x:v>
      </x:c>
      <x:c r="F15" s="15" t="n">
        <x:f>SUMIFS('分配计算'!$V$5:$V$148,'分配计算'!$A$5:$A$148,A15,'分配计算'!$D$5:$D$148,B15)</x:f>
        <x:v>2730.51</x:v>
      </x:c>
      <x:c r="G15" s="15" t="n">
        <x:f>SUMIFS('分配计算'!$W$5:$W$148,'分配计算'!$A$5:$A$148,A15,'分配计算'!$D$5:$D$148,B15)</x:f>
        <x:v>0</x:v>
      </x:c>
      <x:c r="H15" s="15" t="n">
        <x:v>0</x:v>
      </x:c>
      <x:c r="I15" s="15" t="n">
        <x:f>MIN(F15,H15)</x:f>
        <x:v>0</x:v>
      </x:c>
      <x:c r="J15" s="15" t="n">
        <x:f>F15-I15</x:f>
        <x:v>2730.51</x:v>
      </x:c>
      <x:c r="K15" s="15" t="n">
        <x:f>MAX(H15-F15,0)</x:f>
        <x:v>0</x:v>
      </x:c>
    </x:row>
    <x:row r="16" ht="22" customHeight="1">
      <x:c r="A16" s="10" t="str">
        <x:v>V1</x:v>
      </x:c>
      <x:c r="B16" s="10" t="str">
        <x:v>U012</x:v>
      </x:c>
      <x:c r="C16" s="10" t="str">
        <x:v>测试人员12</x:v>
      </x:c>
      <x:c r="D16" s="10" t="str">
        <x:v>技术中心</x:v>
      </x:c>
      <x:c r="E16" s="16" t="n">
        <x:f>SUMIFS('分配计算'!$T$5:$T$148,'分配计算'!$A$5:$A$148,A16,'分配计算'!$D$5:$D$148,B16)</x:f>
        <x:v>1365.98</x:v>
      </x:c>
      <x:c r="F16" s="16" t="n">
        <x:f>SUMIFS('分配计算'!$V$5:$V$148,'分配计算'!$A$5:$A$148,A16,'分配计算'!$D$5:$D$148,B16)</x:f>
        <x:v>1365.98</x:v>
      </x:c>
      <x:c r="G16" s="16" t="n">
        <x:f>SUMIFS('分配计算'!$W$5:$W$148,'分配计算'!$A$5:$A$148,A16,'分配计算'!$D$5:$D$148,B16)</x:f>
        <x:v>0</x:v>
      </x:c>
      <x:c r="H16" s="16" t="n">
        <x:v>500</x:v>
      </x:c>
      <x:c r="I16" s="16" t="n">
        <x:f>MIN(F16,H16)</x:f>
        <x:v>500</x:v>
      </x:c>
      <x:c r="J16" s="16" t="n">
        <x:f>F16-I16</x:f>
        <x:v>865.98</x:v>
      </x:c>
      <x:c r="K16" s="16" t="n">
        <x:f>MAX(H16-F16,0)</x:f>
        <x:v>0</x:v>
      </x:c>
    </x:row>
    <x:row r="17" ht="22" customHeight="1">
      <x:c r="A17" s="1" t="str">
        <x:v>V1</x:v>
      </x:c>
      <x:c r="B17" s="1" t="str">
        <x:v>U013</x:v>
      </x:c>
      <x:c r="C17" s="1" t="str">
        <x:v>测试人员13</x:v>
      </x:c>
      <x:c r="D17" s="1" t="str">
        <x:v>实施一部</x:v>
      </x:c>
      <x:c r="E17" s="15" t="n">
        <x:f>SUMIFS('分配计算'!$T$5:$T$148,'分配计算'!$A$5:$A$148,A17,'分配计算'!$D$5:$D$148,B17)</x:f>
        <x:v>1873.05</x:v>
      </x:c>
      <x:c r="F17" s="15" t="n">
        <x:f>SUMIFS('分配计算'!$V$5:$V$148,'分配计算'!$A$5:$A$148,A17,'分配计算'!$D$5:$D$148,B17)</x:f>
        <x:v>1873.05</x:v>
      </x:c>
      <x:c r="G17" s="15" t="n">
        <x:f>SUMIFS('分配计算'!$W$5:$W$148,'分配计算'!$A$5:$A$148,A17,'分配计算'!$D$5:$D$148,B17)</x:f>
        <x:v>0</x:v>
      </x:c>
      <x:c r="H17" s="15" t="n">
        <x:v>1200</x:v>
      </x:c>
      <x:c r="I17" s="15" t="n">
        <x:f>MIN(F17,H17)</x:f>
        <x:v>1200</x:v>
      </x:c>
      <x:c r="J17" s="15" t="n">
        <x:f>F17-I17</x:f>
        <x:v>673.05</x:v>
      </x:c>
      <x:c r="K17" s="15" t="n">
        <x:f>MAX(H17-F17,0)</x:f>
        <x:v>0</x:v>
      </x:c>
    </x:row>
    <x:row r="18" ht="22" customHeight="1">
      <x:c r="A18" s="10" t="str">
        <x:v>V1</x:v>
      </x:c>
      <x:c r="B18" s="10" t="str">
        <x:v>U014</x:v>
      </x:c>
      <x:c r="C18" s="10" t="str">
        <x:v>测试人员14</x:v>
      </x:c>
      <x:c r="D18" s="10" t="str">
        <x:v>实施二部</x:v>
      </x:c>
      <x:c r="E18" s="16" t="n">
        <x:f>SUMIFS('分配计算'!$T$5:$T$148,'分配计算'!$A$5:$A$148,A18,'分配计算'!$D$5:$D$148,B18)</x:f>
        <x:v>0</x:v>
      </x:c>
      <x:c r="F18" s="16" t="n">
        <x:f>SUMIFS('分配计算'!$V$5:$V$148,'分配计算'!$A$5:$A$148,A18,'分配计算'!$D$5:$D$148,B18)</x:f>
        <x:v>0</x:v>
      </x:c>
      <x:c r="G18" s="16" t="n">
        <x:f>SUMIFS('分配计算'!$W$5:$W$148,'分配计算'!$A$5:$A$148,A18,'分配计算'!$D$5:$D$148,B18)</x:f>
        <x:v>0</x:v>
      </x:c>
      <x:c r="H18" s="16" t="n">
        <x:v>0</x:v>
      </x:c>
      <x:c r="I18" s="16" t="n">
        <x:f>MIN(F18,H18)</x:f>
        <x:v>0</x:v>
      </x:c>
      <x:c r="J18" s="16" t="n">
        <x:f>F18-I18</x:f>
        <x:v>0</x:v>
      </x:c>
      <x:c r="K18" s="16" t="n">
        <x:f>MAX(H18-F18,0)</x:f>
        <x:v>0</x:v>
      </x:c>
    </x:row>
    <x:row r="19" ht="22" customHeight="1">
      <x:c r="A19" s="1" t="str">
        <x:v>V1</x:v>
      </x:c>
      <x:c r="B19" s="1" t="str">
        <x:v>U015</x:v>
      </x:c>
      <x:c r="C19" s="1" t="str">
        <x:v>测试人员15</x:v>
      </x:c>
      <x:c r="D19" s="1" t="str">
        <x:v>技术中心</x:v>
      </x:c>
      <x:c r="E19" s="15" t="n">
        <x:f>SUMIFS('分配计算'!$T$5:$T$148,'分配计算'!$A$5:$A$148,A19,'分配计算'!$D$5:$D$148,B19)</x:f>
        <x:v>0</x:v>
      </x:c>
      <x:c r="F19" s="15" t="n">
        <x:f>SUMIFS('分配计算'!$V$5:$V$148,'分配计算'!$A$5:$A$148,A19,'分配计算'!$D$5:$D$148,B19)</x:f>
        <x:v>0</x:v>
      </x:c>
      <x:c r="G19" s="15" t="n">
        <x:f>SUMIFS('分配计算'!$W$5:$W$148,'分配计算'!$A$5:$A$148,A19,'分配计算'!$D$5:$D$148,B19)</x:f>
        <x:v>0</x:v>
      </x:c>
      <x:c r="H19" s="15" t="n">
        <x:v>300</x:v>
      </x:c>
      <x:c r="I19" s="15" t="n">
        <x:f>MIN(F19,H19)</x:f>
        <x:v>0</x:v>
      </x:c>
      <x:c r="J19" s="15" t="n">
        <x:f>F19-I19</x:f>
        <x:v>0</x:v>
      </x:c>
      <x:c r="K19" s="15" t="n">
        <x:f>MAX(H19-F19,0)</x:f>
        <x:v>300</x:v>
      </x:c>
    </x:row>
    <x:row r="20" ht="22" customHeight="1">
      <x:c r="A20" s="10" t="str">
        <x:v>V1</x:v>
      </x:c>
      <x:c r="B20" s="10" t="str">
        <x:v>U016</x:v>
      </x:c>
      <x:c r="C20" s="10" t="str">
        <x:v>测试人员16</x:v>
      </x:c>
      <x:c r="D20" s="10" t="str">
        <x:v>实施一部</x:v>
      </x:c>
      <x:c r="E20" s="16" t="n">
        <x:f>SUMIFS('分配计算'!$T$5:$T$148,'分配计算'!$A$5:$A$148,A20,'分配计算'!$D$5:$D$148,B20)</x:f>
        <x:v>734.19</x:v>
      </x:c>
      <x:c r="F20" s="16" t="n">
        <x:f>SUMIFS('分配计算'!$V$5:$V$148,'分配计算'!$A$5:$A$148,A20,'分配计算'!$D$5:$D$148,B20)</x:f>
        <x:v>587.35</x:v>
      </x:c>
      <x:c r="G20" s="16" t="n">
        <x:f>SUMIFS('分配计算'!$W$5:$W$148,'分配计算'!$A$5:$A$148,A20,'分配计算'!$D$5:$D$148,B20)</x:f>
        <x:v>146.84000000000003</x:v>
      </x:c>
      <x:c r="H20" s="16" t="n">
        <x:v>0</x:v>
      </x:c>
      <x:c r="I20" s="16" t="n">
        <x:f>MIN(F20,H20)</x:f>
        <x:v>0</x:v>
      </x:c>
      <x:c r="J20" s="16" t="n">
        <x:f>F20-I20</x:f>
        <x:v>587.35</x:v>
      </x:c>
      <x:c r="K20" s="16" t="n">
        <x:f>MAX(H20-F20,0)</x:f>
        <x:v>0</x:v>
      </x:c>
    </x:row>
    <x:row r="21" ht="22" customHeight="1">
      <x:c r="A21" s="1" t="str">
        <x:v>V1</x:v>
      </x:c>
      <x:c r="B21" s="1" t="str">
        <x:v>U017</x:v>
      </x:c>
      <x:c r="C21" s="1" t="str">
        <x:v>测试人员17</x:v>
      </x:c>
      <x:c r="D21" s="1" t="str">
        <x:v>实施二部</x:v>
      </x:c>
      <x:c r="E21" s="15" t="n">
        <x:f>SUMIFS('分配计算'!$T$5:$T$148,'分配计算'!$A$5:$A$148,A21,'分配计算'!$D$5:$D$148,B21)</x:f>
        <x:v>636.35</x:v>
      </x:c>
      <x:c r="F21" s="15" t="n">
        <x:f>SUMIFS('分配计算'!$V$5:$V$148,'分配计算'!$A$5:$A$148,A21,'分配计算'!$D$5:$D$148,B21)</x:f>
        <x:v>509.08</x:v>
      </x:c>
      <x:c r="G21" s="15" t="n">
        <x:f>SUMIFS('分配计算'!$W$5:$W$148,'分配计算'!$A$5:$A$148,A21,'分配计算'!$D$5:$D$148,B21)</x:f>
        <x:v>127.27000000000004</x:v>
      </x:c>
      <x:c r="H21" s="15" t="n">
        <x:v>500</x:v>
      </x:c>
      <x:c r="I21" s="15" t="n">
        <x:f>MIN(F21,H21)</x:f>
        <x:v>500</x:v>
      </x:c>
      <x:c r="J21" s="15" t="n">
        <x:f>F21-I21</x:f>
        <x:v>9.079999999999984</x:v>
      </x:c>
      <x:c r="K21" s="15" t="n">
        <x:f>MAX(H21-F21,0)</x:f>
        <x:v>0</x:v>
      </x:c>
    </x:row>
    <x:row r="22" ht="22" customHeight="1">
      <x:c r="A22" s="10" t="str">
        <x:v>V1</x:v>
      </x:c>
      <x:c r="B22" s="10" t="str">
        <x:v>U018</x:v>
      </x:c>
      <x:c r="C22" s="10" t="str">
        <x:v>测试人员18</x:v>
      </x:c>
      <x:c r="D22" s="10" t="str">
        <x:v>技术中心</x:v>
      </x:c>
      <x:c r="E22" s="16" t="n">
        <x:f>SUMIFS('分配计算'!$T$5:$T$148,'分配计算'!$A$5:$A$148,A22,'分配计算'!$D$5:$D$148,B22)</x:f>
        <x:v>0</x:v>
      </x:c>
      <x:c r="F22" s="16" t="n">
        <x:f>SUMIFS('分配计算'!$V$5:$V$148,'分配计算'!$A$5:$A$148,A22,'分配计算'!$D$5:$D$148,B22)</x:f>
        <x:v>0</x:v>
      </x:c>
      <x:c r="G22" s="16" t="n">
        <x:f>SUMIFS('分配计算'!$W$5:$W$148,'分配计算'!$A$5:$A$148,A22,'分配计算'!$D$5:$D$148,B22)</x:f>
        <x:v>0</x:v>
      </x:c>
      <x:c r="H22" s="16" t="n">
        <x:v>1200</x:v>
      </x:c>
      <x:c r="I22" s="16" t="n">
        <x:f>MIN(F22,H22)</x:f>
        <x:v>0</x:v>
      </x:c>
      <x:c r="J22" s="16" t="n">
        <x:f>F22-I22</x:f>
        <x:v>0</x:v>
      </x:c>
      <x:c r="K22" s="16" t="n">
        <x:f>MAX(H22-F22,0)</x:f>
        <x:v>1200</x:v>
      </x:c>
    </x:row>
    <x:row r="23" ht="22" customHeight="1">
      <x:c r="A23" s="1" t="str">
        <x:v>V2</x:v>
      </x:c>
      <x:c r="B23" s="1" t="str">
        <x:v>U001</x:v>
      </x:c>
      <x:c r="C23" s="1" t="str">
        <x:v>测试人员01</x:v>
      </x:c>
      <x:c r="D23" s="1" t="str">
        <x:v>实施一部</x:v>
      </x:c>
      <x:c r="E23" s="15" t="n">
        <x:f>SUMIFS('分配计算'!$T$5:$T$148,'分配计算'!$A$5:$A$148,A23,'分配计算'!$D$5:$D$148,B23)</x:f>
        <x:v>7909.28</x:v>
      </x:c>
      <x:c r="F23" s="15" t="n">
        <x:f>SUMIFS('分配计算'!$V$5:$V$148,'分配计算'!$A$5:$A$148,A23,'分配计算'!$D$5:$D$148,B23)</x:f>
        <x:v>6327.42</x:v>
      </x:c>
      <x:c r="G23" s="15" t="n">
        <x:f>SUMIFS('分配计算'!$W$5:$W$148,'分配计算'!$A$5:$A$148,A23,'分配计算'!$D$5:$D$148,B23)</x:f>
        <x:v>1581.86</x:v>
      </x:c>
      <x:c r="H23" s="15" t="n">
        <x:v>30000</x:v>
      </x:c>
      <x:c r="I23" s="15" t="n">
        <x:f>MIN(F23,H23)</x:f>
        <x:v>6327.42</x:v>
      </x:c>
      <x:c r="J23" s="15" t="n">
        <x:f>F23-I23</x:f>
        <x:v>0</x:v>
      </x:c>
      <x:c r="K23" s="15" t="n">
        <x:f>MAX(H23-F23,0)</x:f>
        <x:v>23672.58</x:v>
      </x:c>
    </x:row>
    <x:row r="24" ht="22" customHeight="1">
      <x:c r="A24" s="10" t="str">
        <x:v>V2</x:v>
      </x:c>
      <x:c r="B24" s="10" t="str">
        <x:v>U002</x:v>
      </x:c>
      <x:c r="C24" s="10" t="str">
        <x:v>测试人员02</x:v>
      </x:c>
      <x:c r="D24" s="10" t="str">
        <x:v>实施二部</x:v>
      </x:c>
      <x:c r="E24" s="16" t="n">
        <x:f>SUMIFS('分配计算'!$T$5:$T$148,'分配计算'!$A$5:$A$148,A24,'分配计算'!$D$5:$D$148,B24)</x:f>
        <x:v>4941.11</x:v>
      </x:c>
      <x:c r="F24" s="16" t="n">
        <x:f>SUMIFS('分配计算'!$V$5:$V$148,'分配计算'!$A$5:$A$148,A24,'分配计算'!$D$5:$D$148,B24)</x:f>
        <x:v>3952.89</x:v>
      </x:c>
      <x:c r="G24" s="16" t="n">
        <x:f>SUMIFS('分配计算'!$W$5:$W$148,'分配计算'!$A$5:$A$148,A24,'分配计算'!$D$5:$D$148,B24)</x:f>
        <x:v>988.2199999999998</x:v>
      </x:c>
      <x:c r="H24" s="16" t="n">
        <x:v>500</x:v>
      </x:c>
      <x:c r="I24" s="16" t="n">
        <x:f>MIN(F24,H24)</x:f>
        <x:v>500</x:v>
      </x:c>
      <x:c r="J24" s="16" t="n">
        <x:f>F24-I24</x:f>
        <x:v>3452.89</x:v>
      </x:c>
      <x:c r="K24" s="16" t="n">
        <x:f>MAX(H24-F24,0)</x:f>
        <x:v>0</x:v>
      </x:c>
    </x:row>
    <x:row r="25" ht="22" customHeight="1">
      <x:c r="A25" s="1" t="str">
        <x:v>V2</x:v>
      </x:c>
      <x:c r="B25" s="1" t="str">
        <x:v>U003</x:v>
      </x:c>
      <x:c r="C25" s="1" t="str">
        <x:v>测试人员03</x:v>
      </x:c>
      <x:c r="D25" s="1" t="str">
        <x:v>技术中心</x:v>
      </x:c>
      <x:c r="E25" s="15" t="n">
        <x:f>SUMIFS('分配计算'!$T$5:$T$148,'分配计算'!$A$5:$A$148,A25,'分配计算'!$D$5:$D$148,B25)</x:f>
        <x:v>3558.49</x:v>
      </x:c>
      <x:c r="F25" s="15" t="n">
        <x:f>SUMIFS('分配计算'!$V$5:$V$148,'分配计算'!$A$5:$A$148,A25,'分配计算'!$D$5:$D$148,B25)</x:f>
        <x:v>2846.79</x:v>
      </x:c>
      <x:c r="G25" s="15" t="n">
        <x:f>SUMIFS('分配计算'!$W$5:$W$148,'分配计算'!$A$5:$A$148,A25,'分配计算'!$D$5:$D$148,B25)</x:f>
        <x:v>711.6999999999998</x:v>
      </x:c>
      <x:c r="H25" s="15" t="n">
        <x:v>1200</x:v>
      </x:c>
      <x:c r="I25" s="15" t="n">
        <x:f>MIN(F25,H25)</x:f>
        <x:v>1200</x:v>
      </x:c>
      <x:c r="J25" s="15" t="n">
        <x:f>F25-I25</x:f>
        <x:v>1646.79</x:v>
      </x:c>
      <x:c r="K25" s="15" t="n">
        <x:f>MAX(H25-F25,0)</x:f>
        <x:v>0</x:v>
      </x:c>
    </x:row>
    <x:row r="26" ht="22" customHeight="1">
      <x:c r="A26" s="10" t="str">
        <x:v>V2</x:v>
      </x:c>
      <x:c r="B26" s="10" t="str">
        <x:v>U004</x:v>
      </x:c>
      <x:c r="C26" s="10" t="str">
        <x:v>测试人员04</x:v>
      </x:c>
      <x:c r="D26" s="10" t="str">
        <x:v>实施一部</x:v>
      </x:c>
      <x:c r="E26" s="16" t="n">
        <x:f>SUMIFS('分配计算'!$T$5:$T$148,'分配计算'!$A$5:$A$148,A26,'分配计算'!$D$5:$D$148,B26)</x:f>
        <x:v>10232</x:v>
      </x:c>
      <x:c r="F26" s="16" t="n">
        <x:f>SUMIFS('分配计算'!$V$5:$V$148,'分配计算'!$A$5:$A$148,A26,'分配计算'!$D$5:$D$148,B26)</x:f>
        <x:v>10232</x:v>
      </x:c>
      <x:c r="G26" s="16" t="n">
        <x:f>SUMIFS('分配计算'!$W$5:$W$148,'分配计算'!$A$5:$A$148,A26,'分配计算'!$D$5:$D$148,B26)</x:f>
        <x:v>0</x:v>
      </x:c>
      <x:c r="H26" s="16" t="n">
        <x:v>0</x:v>
      </x:c>
      <x:c r="I26" s="16" t="n">
        <x:f>MIN(F26,H26)</x:f>
        <x:v>0</x:v>
      </x:c>
      <x:c r="J26" s="16" t="n">
        <x:f>F26-I26</x:f>
        <x:v>10232</x:v>
      </x:c>
      <x:c r="K26" s="16" t="n">
        <x:f>MAX(H26-F26,0)</x:f>
        <x:v>0</x:v>
      </x:c>
    </x:row>
    <x:row r="27" ht="22" customHeight="1">
      <x:c r="A27" s="1" t="str">
        <x:v>V2</x:v>
      </x:c>
      <x:c r="B27" s="1" t="str">
        <x:v>U005</x:v>
      </x:c>
      <x:c r="C27" s="1" t="str">
        <x:v>测试人员05</x:v>
      </x:c>
      <x:c r="D27" s="1" t="str">
        <x:v>实施二部</x:v>
      </x:c>
      <x:c r="E27" s="15" t="n">
        <x:f>SUMIFS('分配计算'!$T$5:$T$148,'分配计算'!$A$5:$A$148,A27,'分配计算'!$D$5:$D$148,B27)</x:f>
        <x:v>5249.49</x:v>
      </x:c>
      <x:c r="F27" s="15" t="n">
        <x:f>SUMIFS('分配计算'!$V$5:$V$148,'分配计算'!$A$5:$A$148,A27,'分配计算'!$D$5:$D$148,B27)</x:f>
        <x:v>5249.49</x:v>
      </x:c>
      <x:c r="G27" s="15" t="n">
        <x:f>SUMIFS('分配计算'!$W$5:$W$148,'分配计算'!$A$5:$A$148,A27,'分配计算'!$D$5:$D$148,B27)</x:f>
        <x:v>0</x:v>
      </x:c>
      <x:c r="H27" s="15" t="n">
        <x:v>300</x:v>
      </x:c>
      <x:c r="I27" s="15" t="n">
        <x:f>MIN(F27,H27)</x:f>
        <x:v>300</x:v>
      </x:c>
      <x:c r="J27" s="15" t="n">
        <x:f>F27-I27</x:f>
        <x:v>4949.49</x:v>
      </x:c>
      <x:c r="K27" s="15" t="n">
        <x:f>MAX(H27-F27,0)</x:f>
        <x:v>0</x:v>
      </x:c>
    </x:row>
    <x:row r="28" ht="22" customHeight="1">
      <x:c r="A28" s="10" t="str">
        <x:v>V2</x:v>
      </x:c>
      <x:c r="B28" s="10" t="str">
        <x:v>U006</x:v>
      </x:c>
      <x:c r="C28" s="10" t="str">
        <x:v>测试人员06</x:v>
      </x:c>
      <x:c r="D28" s="10" t="str">
        <x:v>技术中心</x:v>
      </x:c>
      <x:c r="E28" s="16" t="n">
        <x:f>SUMIFS('分配计算'!$T$5:$T$148,'分配计算'!$A$5:$A$148,A28,'分配计算'!$D$5:$D$148,B28)</x:f>
        <x:v>4790.21</x:v>
      </x:c>
      <x:c r="F28" s="16" t="n">
        <x:f>SUMIFS('分配计算'!$V$5:$V$148,'分配计算'!$A$5:$A$148,A28,'分配计算'!$D$5:$D$148,B28)</x:f>
        <x:v>4790.21</x:v>
      </x:c>
      <x:c r="G28" s="16" t="n">
        <x:f>SUMIFS('分配计算'!$W$5:$W$148,'分配计算'!$A$5:$A$148,A28,'分配计算'!$D$5:$D$148,B28)</x:f>
        <x:v>0</x:v>
      </x:c>
      <x:c r="H28" s="16" t="n">
        <x:v>0</x:v>
      </x:c>
      <x:c r="I28" s="16" t="n">
        <x:f>MIN(F28,H28)</x:f>
        <x:v>0</x:v>
      </x:c>
      <x:c r="J28" s="16" t="n">
        <x:f>F28-I28</x:f>
        <x:v>4790.21</x:v>
      </x:c>
      <x:c r="K28" s="16" t="n">
        <x:f>MAX(H28-F28,0)</x:f>
        <x:v>0</x:v>
      </x:c>
    </x:row>
    <x:row r="29" ht="22" customHeight="1">
      <x:c r="A29" s="1" t="str">
        <x:v>V2</x:v>
      </x:c>
      <x:c r="B29" s="1" t="str">
        <x:v>U007</x:v>
      </x:c>
      <x:c r="C29" s="1" t="str">
        <x:v>测试人员07</x:v>
      </x:c>
      <x:c r="D29" s="1" t="str">
        <x:v>实施一部</x:v>
      </x:c>
      <x:c r="E29" s="15" t="n">
        <x:f>SUMIFS('分配计算'!$T$5:$T$148,'分配计算'!$A$5:$A$148,A29,'分配计算'!$D$5:$D$148,B29)</x:f>
        <x:v>26905.55</x:v>
      </x:c>
      <x:c r="F29" s="15" t="n">
        <x:f>SUMIFS('分配计算'!$V$5:$V$148,'分配计算'!$A$5:$A$148,A29,'分配计算'!$D$5:$D$148,B29)</x:f>
        <x:v>22463.300000000003</x:v>
      </x:c>
      <x:c r="G29" s="15" t="n">
        <x:f>SUMIFS('分配计算'!$W$5:$W$148,'分配计算'!$A$5:$A$148,A29,'分配计算'!$D$5:$D$148,B29)</x:f>
        <x:v>4442.249999999999</x:v>
      </x:c>
      <x:c r="H29" s="15" t="n">
        <x:v>500</x:v>
      </x:c>
      <x:c r="I29" s="15" t="n">
        <x:f>MIN(F29,H29)</x:f>
        <x:v>500</x:v>
      </x:c>
      <x:c r="J29" s="15" t="n">
        <x:f>F29-I29</x:f>
        <x:v>21963.300000000003</x:v>
      </x:c>
      <x:c r="K29" s="15" t="n">
        <x:f>MAX(H29-F29,0)</x:f>
        <x:v>0</x:v>
      </x:c>
    </x:row>
    <x:row r="30" ht="22" customHeight="1">
      <x:c r="A30" s="10" t="str">
        <x:v>V2</x:v>
      </x:c>
      <x:c r="B30" s="10" t="str">
        <x:v>U008</x:v>
      </x:c>
      <x:c r="C30" s="10" t="str">
        <x:v>测试人员08</x:v>
      </x:c>
      <x:c r="D30" s="10" t="str">
        <x:v>实施二部</x:v>
      </x:c>
      <x:c r="E30" s="16" t="n">
        <x:f>SUMIFS('分配计算'!$T$5:$T$148,'分配计算'!$A$5:$A$148,A30,'分配计算'!$D$5:$D$148,B30)</x:f>
        <x:v>18971.71</x:v>
      </x:c>
      <x:c r="F30" s="16" t="n">
        <x:f>SUMIFS('分配计算'!$V$5:$V$148,'分配计算'!$A$5:$A$148,A30,'分配计算'!$D$5:$D$148,B30)</x:f>
        <x:v>15177.369999999999</x:v>
      </x:c>
      <x:c r="G30" s="16" t="n">
        <x:f>SUMIFS('分配计算'!$W$5:$W$148,'分配计算'!$A$5:$A$148,A30,'分配计算'!$D$5:$D$148,B30)</x:f>
        <x:v>3794.3400000000006</x:v>
      </x:c>
      <x:c r="H30" s="16" t="n">
        <x:v>1200</x:v>
      </x:c>
      <x:c r="I30" s="16" t="n">
        <x:f>MIN(F30,H30)</x:f>
        <x:v>1200</x:v>
      </x:c>
      <x:c r="J30" s="16" t="n">
        <x:f>F30-I30</x:f>
        <x:v>13977.369999999999</x:v>
      </x:c>
      <x:c r="K30" s="16" t="n">
        <x:f>MAX(H30-F30,0)</x:f>
        <x:v>0</x:v>
      </x:c>
    </x:row>
    <x:row r="31" ht="22" customHeight="1">
      <x:c r="A31" s="1" t="str">
        <x:v>V2</x:v>
      </x:c>
      <x:c r="B31" s="1" t="str">
        <x:v>U009</x:v>
      </x:c>
      <x:c r="C31" s="1" t="str">
        <x:v>测试人员09</x:v>
      </x:c>
      <x:c r="D31" s="1" t="str">
        <x:v>技术中心</x:v>
      </x:c>
      <x:c r="E31" s="15" t="n">
        <x:f>SUMIFS('分配计算'!$T$5:$T$148,'分配计算'!$A$5:$A$148,A31,'分配计算'!$D$5:$D$148,B31)</x:f>
        <x:v>23243.86</x:v>
      </x:c>
      <x:c r="F31" s="15" t="n">
        <x:f>SUMIFS('分配计算'!$V$5:$V$148,'分配计算'!$A$5:$A$148,A31,'分配计算'!$D$5:$D$148,B31)</x:f>
        <x:v>18595.09</x:v>
      </x:c>
      <x:c r="G31" s="15" t="n">
        <x:f>SUMIFS('分配计算'!$W$5:$W$148,'分配计算'!$A$5:$A$148,A31,'分配计算'!$D$5:$D$148,B31)</x:f>
        <x:v>4648.769999999999</x:v>
      </x:c>
      <x:c r="H31" s="15" t="n">
        <x:v>0</x:v>
      </x:c>
      <x:c r="I31" s="15" t="n">
        <x:f>MIN(F31,H31)</x:f>
        <x:v>0</x:v>
      </x:c>
      <x:c r="J31" s="15" t="n">
        <x:f>F31-I31</x:f>
        <x:v>18595.09</x:v>
      </x:c>
      <x:c r="K31" s="15" t="n">
        <x:f>MAX(H31-F31,0)</x:f>
        <x:v>0</x:v>
      </x:c>
    </x:row>
    <x:row r="32" ht="22" customHeight="1">
      <x:c r="A32" s="10" t="str">
        <x:v>V2</x:v>
      </x:c>
      <x:c r="B32" s="10" t="str">
        <x:v>U010</x:v>
      </x:c>
      <x:c r="C32" s="10" t="str">
        <x:v>测试人员10</x:v>
      </x:c>
      <x:c r="D32" s="10" t="str">
        <x:v>实施一部</x:v>
      </x:c>
      <x:c r="E32" s="16" t="n">
        <x:f>SUMIFS('分配计算'!$T$5:$T$148,'分配计算'!$A$5:$A$148,A32,'分配计算'!$D$5:$D$148,B32)</x:f>
        <x:v>5647.639999999999</x:v>
      </x:c>
      <x:c r="F32" s="16" t="n">
        <x:f>SUMIFS('分配计算'!$V$5:$V$148,'分配计算'!$A$5:$A$148,A32,'分配计算'!$D$5:$D$148,B32)</x:f>
        <x:v>4924.2</x:v>
      </x:c>
      <x:c r="G32" s="16" t="n">
        <x:f>SUMIFS('分配计算'!$W$5:$W$148,'分配计算'!$A$5:$A$148,A32,'分配计算'!$D$5:$D$148,B32)</x:f>
        <x:v>723.44</x:v>
      </x:c>
      <x:c r="H32" s="16" t="n">
        <x:v>300</x:v>
      </x:c>
      <x:c r="I32" s="16" t="n">
        <x:f>MIN(F32,H32)</x:f>
        <x:v>300</x:v>
      </x:c>
      <x:c r="J32" s="16" t="n">
        <x:f>F32-I32</x:f>
        <x:v>4624.2</x:v>
      </x:c>
      <x:c r="K32" s="16" t="n">
        <x:f>MAX(H32-F32,0)</x:f>
        <x:v>0</x:v>
      </x:c>
    </x:row>
    <x:row r="33" ht="22" customHeight="1">
      <x:c r="A33" s="1" t="str">
        <x:v>V2</x:v>
      </x:c>
      <x:c r="B33" s="1" t="str">
        <x:v>U011</x:v>
      </x:c>
      <x:c r="C33" s="1" t="str">
        <x:v>测试人员11</x:v>
      </x:c>
      <x:c r="D33" s="1" t="str">
        <x:v>实施二部</x:v>
      </x:c>
      <x:c r="E33" s="15" t="n">
        <x:f>SUMIFS('分配计算'!$T$5:$T$148,'分配计算'!$A$5:$A$148,A33,'分配计算'!$D$5:$D$148,B33)</x:f>
        <x:v>2730.51</x:v>
      </x:c>
      <x:c r="F33" s="15" t="n">
        <x:f>SUMIFS('分配计算'!$V$5:$V$148,'分配计算'!$A$5:$A$148,A33,'分配计算'!$D$5:$D$148,B33)</x:f>
        <x:v>2730.51</x:v>
      </x:c>
      <x:c r="G33" s="15" t="n">
        <x:f>SUMIFS('分配计算'!$W$5:$W$148,'分配计算'!$A$5:$A$148,A33,'分配计算'!$D$5:$D$148,B33)</x:f>
        <x:v>0</x:v>
      </x:c>
      <x:c r="H33" s="15" t="n">
        <x:v>0</x:v>
      </x:c>
      <x:c r="I33" s="15" t="n">
        <x:f>MIN(F33,H33)</x:f>
        <x:v>0</x:v>
      </x:c>
      <x:c r="J33" s="15" t="n">
        <x:f>F33-I33</x:f>
        <x:v>2730.51</x:v>
      </x:c>
      <x:c r="K33" s="15" t="n">
        <x:f>MAX(H33-F33,0)</x:f>
        <x:v>0</x:v>
      </x:c>
    </x:row>
    <x:row r="34" ht="22" customHeight="1">
      <x:c r="A34" s="10" t="str">
        <x:v>V2</x:v>
      </x:c>
      <x:c r="B34" s="10" t="str">
        <x:v>U012</x:v>
      </x:c>
      <x:c r="C34" s="10" t="str">
        <x:v>测试人员12</x:v>
      </x:c>
      <x:c r="D34" s="10" t="str">
        <x:v>技术中心</x:v>
      </x:c>
      <x:c r="E34" s="16" t="n">
        <x:f>SUMIFS('分配计算'!$T$5:$T$148,'分配计算'!$A$5:$A$148,A34,'分配计算'!$D$5:$D$148,B34)</x:f>
        <x:v>1365.98</x:v>
      </x:c>
      <x:c r="F34" s="16" t="n">
        <x:f>SUMIFS('分配计算'!$V$5:$V$148,'分配计算'!$A$5:$A$148,A34,'分配计算'!$D$5:$D$148,B34)</x:f>
        <x:v>1365.98</x:v>
      </x:c>
      <x:c r="G34" s="16" t="n">
        <x:f>SUMIFS('分配计算'!$W$5:$W$148,'分配计算'!$A$5:$A$148,A34,'分配计算'!$D$5:$D$148,B34)</x:f>
        <x:v>0</x:v>
      </x:c>
      <x:c r="H34" s="16" t="n">
        <x:v>500</x:v>
      </x:c>
      <x:c r="I34" s="16" t="n">
        <x:f>MIN(F34,H34)</x:f>
        <x:v>500</x:v>
      </x:c>
      <x:c r="J34" s="16" t="n">
        <x:f>F34-I34</x:f>
        <x:v>865.98</x:v>
      </x:c>
      <x:c r="K34" s="16" t="n">
        <x:f>MAX(H34-F34,0)</x:f>
        <x:v>0</x:v>
      </x:c>
    </x:row>
    <x:row r="35" ht="22" customHeight="1">
      <x:c r="A35" s="1" t="str">
        <x:v>V2</x:v>
      </x:c>
      <x:c r="B35" s="1" t="str">
        <x:v>U013</x:v>
      </x:c>
      <x:c r="C35" s="1" t="str">
        <x:v>测试人员13</x:v>
      </x:c>
      <x:c r="D35" s="1" t="str">
        <x:v>实施一部</x:v>
      </x:c>
      <x:c r="E35" s="15" t="n">
        <x:f>SUMIFS('分配计算'!$T$5:$T$148,'分配计算'!$A$5:$A$148,A35,'分配计算'!$D$5:$D$148,B35)</x:f>
        <x:v>1873.05</x:v>
      </x:c>
      <x:c r="F35" s="15" t="n">
        <x:f>SUMIFS('分配计算'!$V$5:$V$148,'分配计算'!$A$5:$A$148,A35,'分配计算'!$D$5:$D$148,B35)</x:f>
        <x:v>1873.05</x:v>
      </x:c>
      <x:c r="G35" s="15" t="n">
        <x:f>SUMIFS('分配计算'!$W$5:$W$148,'分配计算'!$A$5:$A$148,A35,'分配计算'!$D$5:$D$148,B35)</x:f>
        <x:v>0</x:v>
      </x:c>
      <x:c r="H35" s="15" t="n">
        <x:v>1200</x:v>
      </x:c>
      <x:c r="I35" s="15" t="n">
        <x:f>MIN(F35,H35)</x:f>
        <x:v>1200</x:v>
      </x:c>
      <x:c r="J35" s="15" t="n">
        <x:f>F35-I35</x:f>
        <x:v>673.05</x:v>
      </x:c>
      <x:c r="K35" s="15" t="n">
        <x:f>MAX(H35-F35,0)</x:f>
        <x:v>0</x:v>
      </x:c>
    </x:row>
    <x:row r="36" ht="22" customHeight="1">
      <x:c r="A36" s="10" t="str">
        <x:v>V2</x:v>
      </x:c>
      <x:c r="B36" s="10" t="str">
        <x:v>U014</x:v>
      </x:c>
      <x:c r="C36" s="10" t="str">
        <x:v>测试人员14</x:v>
      </x:c>
      <x:c r="D36" s="10" t="str">
        <x:v>实施二部</x:v>
      </x:c>
      <x:c r="E36" s="16" t="n">
        <x:f>SUMIFS('分配计算'!$T$5:$T$148,'分配计算'!$A$5:$A$148,A36,'分配计算'!$D$5:$D$148,B36)</x:f>
        <x:v>0</x:v>
      </x:c>
      <x:c r="F36" s="16" t="n">
        <x:f>SUMIFS('分配计算'!$V$5:$V$148,'分配计算'!$A$5:$A$148,A36,'分配计算'!$D$5:$D$148,B36)</x:f>
        <x:v>0</x:v>
      </x:c>
      <x:c r="G36" s="16" t="n">
        <x:f>SUMIFS('分配计算'!$W$5:$W$148,'分配计算'!$A$5:$A$148,A36,'分配计算'!$D$5:$D$148,B36)</x:f>
        <x:v>0</x:v>
      </x:c>
      <x:c r="H36" s="16" t="n">
        <x:v>0</x:v>
      </x:c>
      <x:c r="I36" s="16" t="n">
        <x:f>MIN(F36,H36)</x:f>
        <x:v>0</x:v>
      </x:c>
      <x:c r="J36" s="16" t="n">
        <x:f>F36-I36</x:f>
        <x:v>0</x:v>
      </x:c>
      <x:c r="K36" s="16" t="n">
        <x:f>MAX(H36-F36,0)</x:f>
        <x:v>0</x:v>
      </x:c>
    </x:row>
    <x:row r="37" ht="22" customHeight="1">
      <x:c r="A37" s="1" t="str">
        <x:v>V2</x:v>
      </x:c>
      <x:c r="B37" s="1" t="str">
        <x:v>U015</x:v>
      </x:c>
      <x:c r="C37" s="1" t="str">
        <x:v>测试人员15</x:v>
      </x:c>
      <x:c r="D37" s="1" t="str">
        <x:v>技术中心</x:v>
      </x:c>
      <x:c r="E37" s="15" t="n">
        <x:f>SUMIFS('分配计算'!$T$5:$T$148,'分配计算'!$A$5:$A$148,A37,'分配计算'!$D$5:$D$148,B37)</x:f>
        <x:v>0</x:v>
      </x:c>
      <x:c r="F37" s="15" t="n">
        <x:f>SUMIFS('分配计算'!$V$5:$V$148,'分配计算'!$A$5:$A$148,A37,'分配计算'!$D$5:$D$148,B37)</x:f>
        <x:v>0</x:v>
      </x:c>
      <x:c r="G37" s="15" t="n">
        <x:f>SUMIFS('分配计算'!$W$5:$W$148,'分配计算'!$A$5:$A$148,A37,'分配计算'!$D$5:$D$148,B37)</x:f>
        <x:v>0</x:v>
      </x:c>
      <x:c r="H37" s="15" t="n">
        <x:v>300</x:v>
      </x:c>
      <x:c r="I37" s="15" t="n">
        <x:f>MIN(F37,H37)</x:f>
        <x:v>0</x:v>
      </x:c>
      <x:c r="J37" s="15" t="n">
        <x:f>F37-I37</x:f>
        <x:v>0</x:v>
      </x:c>
      <x:c r="K37" s="15" t="n">
        <x:f>MAX(H37-F37,0)</x:f>
        <x:v>300</x:v>
      </x:c>
    </x:row>
    <x:row r="38" ht="22" customHeight="1">
      <x:c r="A38" s="10" t="str">
        <x:v>V2</x:v>
      </x:c>
      <x:c r="B38" s="10" t="str">
        <x:v>U016</x:v>
      </x:c>
      <x:c r="C38" s="10" t="str">
        <x:v>测试人员16</x:v>
      </x:c>
      <x:c r="D38" s="10" t="str">
        <x:v>实施一部</x:v>
      </x:c>
      <x:c r="E38" s="16" t="n">
        <x:f>SUMIFS('分配计算'!$T$5:$T$148,'分配计算'!$A$5:$A$148,A38,'分配计算'!$D$5:$D$148,B38)</x:f>
        <x:v>1704.65</x:v>
      </x:c>
      <x:c r="F38" s="16" t="n">
        <x:f>SUMIFS('分配计算'!$V$5:$V$148,'分配计算'!$A$5:$A$148,A38,'分配计算'!$D$5:$D$148,B38)</x:f>
        <x:v>1363.72</x:v>
      </x:c>
      <x:c r="G38" s="16" t="n">
        <x:f>SUMIFS('分配计算'!$W$5:$W$148,'分配计算'!$A$5:$A$148,A38,'分配计算'!$D$5:$D$148,B38)</x:f>
        <x:v>340.93000000000006</x:v>
      </x:c>
      <x:c r="H38" s="16" t="n">
        <x:v>0</x:v>
      </x:c>
      <x:c r="I38" s="16" t="n">
        <x:f>MIN(F38,H38)</x:f>
        <x:v>0</x:v>
      </x:c>
      <x:c r="J38" s="16" t="n">
        <x:f>F38-I38</x:f>
        <x:v>1363.72</x:v>
      </x:c>
      <x:c r="K38" s="16" t="n">
        <x:f>MAX(H38-F38,0)</x:f>
        <x:v>0</x:v>
      </x:c>
    </x:row>
    <x:row r="39" ht="22" customHeight="1">
      <x:c r="A39" s="1" t="str">
        <x:v>V2</x:v>
      </x:c>
      <x:c r="B39" s="1" t="str">
        <x:v>U017</x:v>
      </x:c>
      <x:c r="C39" s="1" t="str">
        <x:v>测试人员17</x:v>
      </x:c>
      <x:c r="D39" s="1" t="str">
        <x:v>实施二部</x:v>
      </x:c>
      <x:c r="E39" s="15" t="n">
        <x:f>SUMIFS('分配计算'!$T$5:$T$148,'分配计算'!$A$5:$A$148,A39,'分配计算'!$D$5:$D$148,B39)</x:f>
        <x:v>1477.47</x:v>
      </x:c>
      <x:c r="F39" s="15" t="n">
        <x:f>SUMIFS('分配计算'!$V$5:$V$148,'分配计算'!$A$5:$A$148,A39,'分配计算'!$D$5:$D$148,B39)</x:f>
        <x:v>1181.98</x:v>
      </x:c>
      <x:c r="G39" s="15" t="n">
        <x:f>SUMIFS('分配计算'!$W$5:$W$148,'分配计算'!$A$5:$A$148,A39,'分配计算'!$D$5:$D$148,B39)</x:f>
        <x:v>295.49</x:v>
      </x:c>
      <x:c r="H39" s="15" t="n">
        <x:v>500</x:v>
      </x:c>
      <x:c r="I39" s="15" t="n">
        <x:f>MIN(F39,H39)</x:f>
        <x:v>500</x:v>
      </x:c>
      <x:c r="J39" s="15" t="n">
        <x:f>F39-I39</x:f>
        <x:v>681.98</x:v>
      </x:c>
      <x:c r="K39" s="15" t="n">
        <x:f>MAX(H39-F39,0)</x:f>
        <x:v>0</x:v>
      </x:c>
    </x:row>
    <x:row r="40" ht="22" customHeight="1">
      <x:c r="A40" s="10" t="str">
        <x:v>V2</x:v>
      </x:c>
      <x:c r="B40" s="10" t="str">
        <x:v>U018</x:v>
      </x:c>
      <x:c r="C40" s="10" t="str">
        <x:v>测试人员18</x:v>
      </x:c>
      <x:c r="D40" s="10" t="str">
        <x:v>技术中心</x:v>
      </x:c>
      <x:c r="E40" s="16" t="n">
        <x:f>SUMIFS('分配计算'!$T$5:$T$148,'分配计算'!$A$5:$A$148,A40,'分配计算'!$D$5:$D$148,B40)</x:f>
        <x:v>0</x:v>
      </x:c>
      <x:c r="F40" s="16" t="n">
        <x:f>SUMIFS('分配计算'!$V$5:$V$148,'分配计算'!$A$5:$A$148,A40,'分配计算'!$D$5:$D$148,B40)</x:f>
        <x:v>0</x:v>
      </x:c>
      <x:c r="G40" s="16" t="n">
        <x:f>SUMIFS('分配计算'!$W$5:$W$148,'分配计算'!$A$5:$A$148,A40,'分配计算'!$D$5:$D$148,B40)</x:f>
        <x:v>0</x:v>
      </x:c>
      <x:c r="H40" s="16" t="n">
        <x:v>1200</x:v>
      </x:c>
      <x:c r="I40" s="16" t="n">
        <x:f>MIN(F40,H40)</x:f>
        <x:v>0</x:v>
      </x:c>
      <x:c r="J40" s="16" t="n">
        <x:f>F40-I40</x:f>
        <x:v>0</x:v>
      </x:c>
      <x:c r="K40" s="16" t="n">
        <x:f>MAX(H40-F40,0)</x:f>
        <x:v>1200</x:v>
      </x:c>
    </x:row>
    <x:row r="41" ht="22" customHeight="1">
      <x:c r="A41" s="1" t="str">
        <x:v>V3</x:v>
      </x:c>
      <x:c r="B41" s="1" t="str">
        <x:v>U001</x:v>
      </x:c>
      <x:c r="C41" s="1" t="str">
        <x:v>测试人员01</x:v>
      </x:c>
      <x:c r="D41" s="1" t="str">
        <x:v>实施一部</x:v>
      </x:c>
      <x:c r="E41" s="15" t="n">
        <x:f>SUMIFS('分配计算'!$T$5:$T$148,'分配计算'!$A$5:$A$148,A41,'分配计算'!$D$5:$D$148,B41)</x:f>
        <x:v>7216.76</x:v>
      </x:c>
      <x:c r="F41" s="15" t="n">
        <x:f>SUMIFS('分配计算'!$V$5:$V$148,'分配计算'!$A$5:$A$148,A41,'分配计算'!$D$5:$D$148,B41)</x:f>
        <x:v>5773.400000000001</x:v>
      </x:c>
      <x:c r="G41" s="15" t="n">
        <x:f>SUMIFS('分配计算'!$W$5:$W$148,'分配计算'!$A$5:$A$148,A41,'分配计算'!$D$5:$D$148,B41)</x:f>
        <x:v>1443.36</x:v>
      </x:c>
      <x:c r="H41" s="15" t="n">
        <x:v>30000</x:v>
      </x:c>
      <x:c r="I41" s="15" t="n">
        <x:f>MIN(F41,H41)</x:f>
        <x:v>5773.400000000001</x:v>
      </x:c>
      <x:c r="J41" s="15" t="n">
        <x:f>F41-I41</x:f>
        <x:v>0</x:v>
      </x:c>
      <x:c r="K41" s="15" t="n">
        <x:f>MAX(H41-F41,0)</x:f>
        <x:v>24226.6</x:v>
      </x:c>
    </x:row>
    <x:row r="42" ht="22" customHeight="1">
      <x:c r="A42" s="10" t="str">
        <x:v>V3</x:v>
      </x:c>
      <x:c r="B42" s="10" t="str">
        <x:v>U002</x:v>
      </x:c>
      <x:c r="C42" s="10" t="str">
        <x:v>测试人员02</x:v>
      </x:c>
      <x:c r="D42" s="10" t="str">
        <x:v>实施二部</x:v>
      </x:c>
      <x:c r="E42" s="16" t="n">
        <x:f>SUMIFS('分配计算'!$T$5:$T$148,'分配计算'!$A$5:$A$148,A42,'分配计算'!$D$5:$D$148,B42)</x:f>
        <x:v>6000</x:v>
      </x:c>
      <x:c r="F42" s="16" t="n">
        <x:f>SUMIFS('分配计算'!$V$5:$V$148,'分配计算'!$A$5:$A$148,A42,'分配计算'!$D$5:$D$148,B42)</x:f>
        <x:v>4800</x:v>
      </x:c>
      <x:c r="G42" s="16" t="n">
        <x:f>SUMIFS('分配计算'!$W$5:$W$148,'分配计算'!$A$5:$A$148,A42,'分配计算'!$D$5:$D$148,B42)</x:f>
        <x:v>1200</x:v>
      </x:c>
      <x:c r="H42" s="16" t="n">
        <x:v>500</x:v>
      </x:c>
      <x:c r="I42" s="16" t="n">
        <x:f>MIN(F42,H42)</x:f>
        <x:v>500</x:v>
      </x:c>
      <x:c r="J42" s="16" t="n">
        <x:f>F42-I42</x:f>
        <x:v>4300</x:v>
      </x:c>
      <x:c r="K42" s="16" t="n">
        <x:f>MAX(H42-F42,0)</x:f>
        <x:v>0</x:v>
      </x:c>
    </x:row>
    <x:row r="43" ht="22" customHeight="1">
      <x:c r="A43" s="1" t="str">
        <x:v>V3</x:v>
      </x:c>
      <x:c r="B43" s="1" t="str">
        <x:v>U003</x:v>
      </x:c>
      <x:c r="C43" s="1" t="str">
        <x:v>测试人员03</x:v>
      </x:c>
      <x:c r="D43" s="1" t="str">
        <x:v>技术中心</x:v>
      </x:c>
      <x:c r="E43" s="15" t="n">
        <x:f>SUMIFS('分配计算'!$T$5:$T$148,'分配计算'!$A$5:$A$148,A43,'分配计算'!$D$5:$D$148,B43)</x:f>
        <x:v>3192.12</x:v>
      </x:c>
      <x:c r="F43" s="15" t="n">
        <x:f>SUMIFS('分配计算'!$V$5:$V$148,'分配计算'!$A$5:$A$148,A43,'分配计算'!$D$5:$D$148,B43)</x:f>
        <x:v>2553.7</x:v>
      </x:c>
      <x:c r="G43" s="15" t="n">
        <x:f>SUMIFS('分配计算'!$W$5:$W$148,'分配计算'!$A$5:$A$148,A43,'分配计算'!$D$5:$D$148,B43)</x:f>
        <x:v>638.4200000000001</x:v>
      </x:c>
      <x:c r="H43" s="15" t="n">
        <x:v>1200</x:v>
      </x:c>
      <x:c r="I43" s="15" t="n">
        <x:f>MIN(F43,H43)</x:f>
        <x:v>1200</x:v>
      </x:c>
      <x:c r="J43" s="15" t="n">
        <x:f>F43-I43</x:f>
        <x:v>1353.6999999999998</x:v>
      </x:c>
      <x:c r="K43" s="15" t="n">
        <x:f>MAX(H43-F43,0)</x:f>
        <x:v>0</x:v>
      </x:c>
    </x:row>
    <x:row r="44" ht="22" customHeight="1">
      <x:c r="A44" s="10" t="str">
        <x:v>V3</x:v>
      </x:c>
      <x:c r="B44" s="10" t="str">
        <x:v>U004</x:v>
      </x:c>
      <x:c r="C44" s="10" t="str">
        <x:v>测试人员04</x:v>
      </x:c>
      <x:c r="D44" s="10" t="str">
        <x:v>实施一部</x:v>
      </x:c>
      <x:c r="E44" s="16" t="n">
        <x:f>SUMIFS('分配计算'!$T$5:$T$148,'分配计算'!$A$5:$A$148,A44,'分配计算'!$D$5:$D$148,B44)</x:f>
        <x:v>10232</x:v>
      </x:c>
      <x:c r="F44" s="16" t="n">
        <x:f>SUMIFS('分配计算'!$V$5:$V$148,'分配计算'!$A$5:$A$148,A44,'分配计算'!$D$5:$D$148,B44)</x:f>
        <x:v>10232</x:v>
      </x:c>
      <x:c r="G44" s="16" t="n">
        <x:f>SUMIFS('分配计算'!$W$5:$W$148,'分配计算'!$A$5:$A$148,A44,'分配计算'!$D$5:$D$148,B44)</x:f>
        <x:v>0</x:v>
      </x:c>
      <x:c r="H44" s="16" t="n">
        <x:v>0</x:v>
      </x:c>
      <x:c r="I44" s="16" t="n">
        <x:f>MIN(F44,H44)</x:f>
        <x:v>0</x:v>
      </x:c>
      <x:c r="J44" s="16" t="n">
        <x:f>F44-I44</x:f>
        <x:v>10232</x:v>
      </x:c>
      <x:c r="K44" s="16" t="n">
        <x:f>MAX(H44-F44,0)</x:f>
        <x:v>0</x:v>
      </x:c>
    </x:row>
    <x:row r="45" ht="22" customHeight="1">
      <x:c r="A45" s="1" t="str">
        <x:v>V3</x:v>
      </x:c>
      <x:c r="B45" s="1" t="str">
        <x:v>U005</x:v>
      </x:c>
      <x:c r="C45" s="1" t="str">
        <x:v>测试人员05</x:v>
      </x:c>
      <x:c r="D45" s="1" t="str">
        <x:v>实施二部</x:v>
      </x:c>
      <x:c r="E45" s="15" t="n">
        <x:f>SUMIFS('分配计算'!$T$5:$T$148,'分配计算'!$A$5:$A$148,A45,'分配计算'!$D$5:$D$148,B45)</x:f>
        <x:v>5249.49</x:v>
      </x:c>
      <x:c r="F45" s="15" t="n">
        <x:f>SUMIFS('分配计算'!$V$5:$V$148,'分配计算'!$A$5:$A$148,A45,'分配计算'!$D$5:$D$148,B45)</x:f>
        <x:v>5249.49</x:v>
      </x:c>
      <x:c r="G45" s="15" t="n">
        <x:f>SUMIFS('分配计算'!$W$5:$W$148,'分配计算'!$A$5:$A$148,A45,'分配计算'!$D$5:$D$148,B45)</x:f>
        <x:v>0</x:v>
      </x:c>
      <x:c r="H45" s="15" t="n">
        <x:v>300</x:v>
      </x:c>
      <x:c r="I45" s="15" t="n">
        <x:f>MIN(F45,H45)</x:f>
        <x:v>300</x:v>
      </x:c>
      <x:c r="J45" s="15" t="n">
        <x:f>F45-I45</x:f>
        <x:v>4949.49</x:v>
      </x:c>
      <x:c r="K45" s="15" t="n">
        <x:f>MAX(H45-F45,0)</x:f>
        <x:v>0</x:v>
      </x:c>
    </x:row>
    <x:row r="46" ht="22" customHeight="1">
      <x:c r="A46" s="10" t="str">
        <x:v>V3</x:v>
      </x:c>
      <x:c r="B46" s="10" t="str">
        <x:v>U006</x:v>
      </x:c>
      <x:c r="C46" s="10" t="str">
        <x:v>测试人员06</x:v>
      </x:c>
      <x:c r="D46" s="10" t="str">
        <x:v>技术中心</x:v>
      </x:c>
      <x:c r="E46" s="16" t="n">
        <x:f>SUMIFS('分配计算'!$T$5:$T$148,'分配计算'!$A$5:$A$148,A46,'分配计算'!$D$5:$D$148,B46)</x:f>
        <x:v>4790.21</x:v>
      </x:c>
      <x:c r="F46" s="16" t="n">
        <x:f>SUMIFS('分配计算'!$V$5:$V$148,'分配计算'!$A$5:$A$148,A46,'分配计算'!$D$5:$D$148,B46)</x:f>
        <x:v>4790.21</x:v>
      </x:c>
      <x:c r="G46" s="16" t="n">
        <x:f>SUMIFS('分配计算'!$W$5:$W$148,'分配计算'!$A$5:$A$148,A46,'分配计算'!$D$5:$D$148,B46)</x:f>
        <x:v>0</x:v>
      </x:c>
      <x:c r="H46" s="16" t="n">
        <x:v>0</x:v>
      </x:c>
      <x:c r="I46" s="16" t="n">
        <x:f>MIN(F46,H46)</x:f>
        <x:v>0</x:v>
      </x:c>
      <x:c r="J46" s="16" t="n">
        <x:f>F46-I46</x:f>
        <x:v>4790.21</x:v>
      </x:c>
      <x:c r="K46" s="16" t="n">
        <x:f>MAX(H46-F46,0)</x:f>
        <x:v>0</x:v>
      </x:c>
    </x:row>
    <x:row r="47" ht="22" customHeight="1">
      <x:c r="A47" s="1" t="str">
        <x:v>V3</x:v>
      </x:c>
      <x:c r="B47" s="1" t="str">
        <x:v>U007</x:v>
      </x:c>
      <x:c r="C47" s="1" t="str">
        <x:v>测试人员07</x:v>
      </x:c>
      <x:c r="D47" s="1" t="str">
        <x:v>实施一部</x:v>
      </x:c>
      <x:c r="E47" s="15" t="n">
        <x:f>SUMIFS('分配计算'!$T$5:$T$148,'分配计算'!$A$5:$A$148,A47,'分配计算'!$D$5:$D$148,B47)</x:f>
        <x:v>28493.829999999998</x:v>
      </x:c>
      <x:c r="F47" s="15" t="n">
        <x:f>SUMIFS('分配计算'!$V$5:$V$148,'分配计算'!$A$5:$A$148,A47,'分配计算'!$D$5:$D$148,B47)</x:f>
        <x:v>23733.920000000002</x:v>
      </x:c>
      <x:c r="G47" s="15" t="n">
        <x:f>SUMIFS('分配计算'!$W$5:$W$148,'分配计算'!$A$5:$A$148,A47,'分配计算'!$D$5:$D$148,B47)</x:f>
        <x:v>4759.909999999999</x:v>
      </x:c>
      <x:c r="H47" s="15" t="n">
        <x:v>500</x:v>
      </x:c>
      <x:c r="I47" s="15" t="n">
        <x:f>MIN(F47,H47)</x:f>
        <x:v>500</x:v>
      </x:c>
      <x:c r="J47" s="15" t="n">
        <x:f>F47-I47</x:f>
        <x:v>23233.920000000002</x:v>
      </x:c>
      <x:c r="K47" s="15" t="n">
        <x:f>MAX(H47-F47,0)</x:f>
        <x:v>0</x:v>
      </x:c>
    </x:row>
    <x:row r="48" ht="22" customHeight="1">
      <x:c r="A48" s="10" t="str">
        <x:v>V3</x:v>
      </x:c>
      <x:c r="B48" s="10" t="str">
        <x:v>U008</x:v>
      </x:c>
      <x:c r="C48" s="10" t="str">
        <x:v>测试人员08</x:v>
      </x:c>
      <x:c r="D48" s="10" t="str">
        <x:v>实施二部</x:v>
      </x:c>
      <x:c r="E48" s="16" t="n">
        <x:f>SUMIFS('分配计算'!$T$5:$T$148,'分配计算'!$A$5:$A$148,A48,'分配计算'!$D$5:$D$148,B48)</x:f>
        <x:v>15339.44</x:v>
      </x:c>
      <x:c r="F48" s="16" t="n">
        <x:f>SUMIFS('分配计算'!$V$5:$V$148,'分配计算'!$A$5:$A$148,A48,'分配计算'!$D$5:$D$148,B48)</x:f>
        <x:v>12271.55</x:v>
      </x:c>
      <x:c r="G48" s="16" t="n">
        <x:f>SUMIFS('分配计算'!$W$5:$W$148,'分配计算'!$A$5:$A$148,A48,'分配计算'!$D$5:$D$148,B48)</x:f>
        <x:v>3067.89</x:v>
      </x:c>
      <x:c r="H48" s="16" t="n">
        <x:v>1200</x:v>
      </x:c>
      <x:c r="I48" s="16" t="n">
        <x:f>MIN(F48,H48)</x:f>
        <x:v>1200</x:v>
      </x:c>
      <x:c r="J48" s="16" t="n">
        <x:f>F48-I48</x:f>
        <x:v>11071.55</x:v>
      </x:c>
      <x:c r="K48" s="16" t="n">
        <x:f>MAX(H48-F48,0)</x:f>
        <x:v>0</x:v>
      </x:c>
    </x:row>
    <x:row r="49" ht="22" customHeight="1">
      <x:c r="A49" s="1" t="str">
        <x:v>V3</x:v>
      </x:c>
      <x:c r="B49" s="1" t="str">
        <x:v>U009</x:v>
      </x:c>
      <x:c r="C49" s="1" t="str">
        <x:v>测试人员09</x:v>
      </x:c>
      <x:c r="D49" s="1" t="str">
        <x:v>技术中心</x:v>
      </x:c>
      <x:c r="E49" s="15" t="n">
        <x:f>SUMIFS('分配计算'!$T$5:$T$148,'分配计算'!$A$5:$A$148,A49,'分配计算'!$D$5:$D$148,B49)</x:f>
        <x:v>25287.850000000002</x:v>
      </x:c>
      <x:c r="F49" s="15" t="n">
        <x:f>SUMIFS('分配计算'!$V$5:$V$148,'分配计算'!$A$5:$A$148,A49,'分配计算'!$D$5:$D$148,B49)</x:f>
        <x:v>20230.28</x:v>
      </x:c>
      <x:c r="G49" s="15" t="n">
        <x:f>SUMIFS('分配计算'!$W$5:$W$148,'分配计算'!$A$5:$A$148,A49,'分配计算'!$D$5:$D$148,B49)</x:f>
        <x:v>5057.5700000000015</x:v>
      </x:c>
      <x:c r="H49" s="15" t="n">
        <x:v>0</x:v>
      </x:c>
      <x:c r="I49" s="15" t="n">
        <x:f>MIN(F49,H49)</x:f>
        <x:v>0</x:v>
      </x:c>
      <x:c r="J49" s="15" t="n">
        <x:f>F49-I49</x:f>
        <x:v>20230.28</x:v>
      </x:c>
      <x:c r="K49" s="15" t="n">
        <x:f>MAX(H49-F49,0)</x:f>
        <x:v>0</x:v>
      </x:c>
    </x:row>
    <x:row r="50" ht="22" customHeight="1">
      <x:c r="A50" s="10" t="str">
        <x:v>V3</x:v>
      </x:c>
      <x:c r="B50" s="10" t="str">
        <x:v>U010</x:v>
      </x:c>
      <x:c r="C50" s="10" t="str">
        <x:v>测试人员10</x:v>
      </x:c>
      <x:c r="D50" s="10" t="str">
        <x:v>实施一部</x:v>
      </x:c>
      <x:c r="E50" s="16" t="n">
        <x:f>SUMIFS('分配计算'!$T$5:$T$148,'分配计算'!$A$5:$A$148,A50,'分配计算'!$D$5:$D$148,B50)</x:f>
        <x:v>5647.639999999999</x:v>
      </x:c>
      <x:c r="F50" s="16" t="n">
        <x:f>SUMIFS('分配计算'!$V$5:$V$148,'分配计算'!$A$5:$A$148,A50,'分配计算'!$D$5:$D$148,B50)</x:f>
        <x:v>4924.2</x:v>
      </x:c>
      <x:c r="G50" s="16" t="n">
        <x:f>SUMIFS('分配计算'!$W$5:$W$148,'分配计算'!$A$5:$A$148,A50,'分配计算'!$D$5:$D$148,B50)</x:f>
        <x:v>723.44</x:v>
      </x:c>
      <x:c r="H50" s="16" t="n">
        <x:v>300</x:v>
      </x:c>
      <x:c r="I50" s="16" t="n">
        <x:f>MIN(F50,H50)</x:f>
        <x:v>300</x:v>
      </x:c>
      <x:c r="J50" s="16" t="n">
        <x:f>F50-I50</x:f>
        <x:v>4624.2</x:v>
      </x:c>
      <x:c r="K50" s="16" t="n">
        <x:f>MAX(H50-F50,0)</x:f>
        <x:v>0</x:v>
      </x:c>
    </x:row>
    <x:row r="51" ht="22" customHeight="1">
      <x:c r="A51" s="1" t="str">
        <x:v>V3</x:v>
      </x:c>
      <x:c r="B51" s="1" t="str">
        <x:v>U011</x:v>
      </x:c>
      <x:c r="C51" s="1" t="str">
        <x:v>测试人员11</x:v>
      </x:c>
      <x:c r="D51" s="1" t="str">
        <x:v>实施二部</x:v>
      </x:c>
      <x:c r="E51" s="15" t="n">
        <x:f>SUMIFS('分配计算'!$T$5:$T$148,'分配计算'!$A$5:$A$148,A51,'分配计算'!$D$5:$D$148,B51)</x:f>
        <x:v>2730.51</x:v>
      </x:c>
      <x:c r="F51" s="15" t="n">
        <x:f>SUMIFS('分配计算'!$V$5:$V$148,'分配计算'!$A$5:$A$148,A51,'分配计算'!$D$5:$D$148,B51)</x:f>
        <x:v>2730.51</x:v>
      </x:c>
      <x:c r="G51" s="15" t="n">
        <x:f>SUMIFS('分配计算'!$W$5:$W$148,'分配计算'!$A$5:$A$148,A51,'分配计算'!$D$5:$D$148,B51)</x:f>
        <x:v>0</x:v>
      </x:c>
      <x:c r="H51" s="15" t="n">
        <x:v>0</x:v>
      </x:c>
      <x:c r="I51" s="15" t="n">
        <x:f>MIN(F51,H51)</x:f>
        <x:v>0</x:v>
      </x:c>
      <x:c r="J51" s="15" t="n">
        <x:f>F51-I51</x:f>
        <x:v>2730.51</x:v>
      </x:c>
      <x:c r="K51" s="15" t="n">
        <x:f>MAX(H51-F51,0)</x:f>
        <x:v>0</x:v>
      </x:c>
    </x:row>
    <x:row r="52" ht="22" customHeight="1">
      <x:c r="A52" s="10" t="str">
        <x:v>V3</x:v>
      </x:c>
      <x:c r="B52" s="10" t="str">
        <x:v>U012</x:v>
      </x:c>
      <x:c r="C52" s="10" t="str">
        <x:v>测试人员12</x:v>
      </x:c>
      <x:c r="D52" s="10" t="str">
        <x:v>技术中心</x:v>
      </x:c>
      <x:c r="E52" s="16" t="n">
        <x:f>SUMIFS('分配计算'!$T$5:$T$148,'分配计算'!$A$5:$A$148,A52,'分配计算'!$D$5:$D$148,B52)</x:f>
        <x:v>1365.98</x:v>
      </x:c>
      <x:c r="F52" s="16" t="n">
        <x:f>SUMIFS('分配计算'!$V$5:$V$148,'分配计算'!$A$5:$A$148,A52,'分配计算'!$D$5:$D$148,B52)</x:f>
        <x:v>1365.98</x:v>
      </x:c>
      <x:c r="G52" s="16" t="n">
        <x:f>SUMIFS('分配计算'!$W$5:$W$148,'分配计算'!$A$5:$A$148,A52,'分配计算'!$D$5:$D$148,B52)</x:f>
        <x:v>0</x:v>
      </x:c>
      <x:c r="H52" s="16" t="n">
        <x:v>500</x:v>
      </x:c>
      <x:c r="I52" s="16" t="n">
        <x:f>MIN(F52,H52)</x:f>
        <x:v>500</x:v>
      </x:c>
      <x:c r="J52" s="16" t="n">
        <x:f>F52-I52</x:f>
        <x:v>865.98</x:v>
      </x:c>
      <x:c r="K52" s="16" t="n">
        <x:f>MAX(H52-F52,0)</x:f>
        <x:v>0</x:v>
      </x:c>
    </x:row>
    <x:row r="53" ht="22" customHeight="1">
      <x:c r="A53" s="1" t="str">
        <x:v>V3</x:v>
      </x:c>
      <x:c r="B53" s="1" t="str">
        <x:v>U013</x:v>
      </x:c>
      <x:c r="C53" s="1" t="str">
        <x:v>测试人员13</x:v>
      </x:c>
      <x:c r="D53" s="1" t="str">
        <x:v>实施一部</x:v>
      </x:c>
      <x:c r="E53" s="15" t="n">
        <x:f>SUMIFS('分配计算'!$T$5:$T$148,'分配计算'!$A$5:$A$148,A53,'分配计算'!$D$5:$D$148,B53)</x:f>
        <x:v>1873.05</x:v>
      </x:c>
      <x:c r="F53" s="15" t="n">
        <x:f>SUMIFS('分配计算'!$V$5:$V$148,'分配计算'!$A$5:$A$148,A53,'分配计算'!$D$5:$D$148,B53)</x:f>
        <x:v>1873.05</x:v>
      </x:c>
      <x:c r="G53" s="15" t="n">
        <x:f>SUMIFS('分配计算'!$W$5:$W$148,'分配计算'!$A$5:$A$148,A53,'分配计算'!$D$5:$D$148,B53)</x:f>
        <x:v>0</x:v>
      </x:c>
      <x:c r="H53" s="15" t="n">
        <x:v>1200</x:v>
      </x:c>
      <x:c r="I53" s="15" t="n">
        <x:f>MIN(F53,H53)</x:f>
        <x:v>1200</x:v>
      </x:c>
      <x:c r="J53" s="15" t="n">
        <x:f>F53-I53</x:f>
        <x:v>673.05</x:v>
      </x:c>
      <x:c r="K53" s="15" t="n">
        <x:f>MAX(H53-F53,0)</x:f>
        <x:v>0</x:v>
      </x:c>
    </x:row>
    <x:row r="54" ht="22" customHeight="1">
      <x:c r="A54" s="10" t="str">
        <x:v>V3</x:v>
      </x:c>
      <x:c r="B54" s="10" t="str">
        <x:v>U014</x:v>
      </x:c>
      <x:c r="C54" s="10" t="str">
        <x:v>测试人员14</x:v>
      </x:c>
      <x:c r="D54" s="10" t="str">
        <x:v>实施二部</x:v>
      </x:c>
      <x:c r="E54" s="16" t="n">
        <x:f>SUMIFS('分配计算'!$T$5:$T$148,'分配计算'!$A$5:$A$148,A54,'分配计算'!$D$5:$D$148,B54)</x:f>
        <x:v>0</x:v>
      </x:c>
      <x:c r="F54" s="16" t="n">
        <x:f>SUMIFS('分配计算'!$V$5:$V$148,'分配计算'!$A$5:$A$148,A54,'分配计算'!$D$5:$D$148,B54)</x:f>
        <x:v>0</x:v>
      </x:c>
      <x:c r="G54" s="16" t="n">
        <x:f>SUMIFS('分配计算'!$W$5:$W$148,'分配计算'!$A$5:$A$148,A54,'分配计算'!$D$5:$D$148,B54)</x:f>
        <x:v>0</x:v>
      </x:c>
      <x:c r="H54" s="16" t="n">
        <x:v>0</x:v>
      </x:c>
      <x:c r="I54" s="16" t="n">
        <x:f>MIN(F54,H54)</x:f>
        <x:v>0</x:v>
      </x:c>
      <x:c r="J54" s="16" t="n">
        <x:f>F54-I54</x:f>
        <x:v>0</x:v>
      </x:c>
      <x:c r="K54" s="16" t="n">
        <x:f>MAX(H54-F54,0)</x:f>
        <x:v>0</x:v>
      </x:c>
    </x:row>
    <x:row r="55" ht="22" customHeight="1">
      <x:c r="A55" s="1" t="str">
        <x:v>V3</x:v>
      </x:c>
      <x:c r="B55" s="1" t="str">
        <x:v>U015</x:v>
      </x:c>
      <x:c r="C55" s="1" t="str">
        <x:v>测试人员15</x:v>
      </x:c>
      <x:c r="D55" s="1" t="str">
        <x:v>技术中心</x:v>
      </x:c>
      <x:c r="E55" s="15" t="n">
        <x:f>SUMIFS('分配计算'!$T$5:$T$148,'分配计算'!$A$5:$A$148,A55,'分配计算'!$D$5:$D$148,B55)</x:f>
        <x:v>0</x:v>
      </x:c>
      <x:c r="F55" s="15" t="n">
        <x:f>SUMIFS('分配计算'!$V$5:$V$148,'分配计算'!$A$5:$A$148,A55,'分配计算'!$D$5:$D$148,B55)</x:f>
        <x:v>0</x:v>
      </x:c>
      <x:c r="G55" s="15" t="n">
        <x:f>SUMIFS('分配计算'!$W$5:$W$148,'分配计算'!$A$5:$A$148,A55,'分配计算'!$D$5:$D$148,B55)</x:f>
        <x:v>0</x:v>
      </x:c>
      <x:c r="H55" s="15" t="n">
        <x:v>300</x:v>
      </x:c>
      <x:c r="I55" s="15" t="n">
        <x:f>MIN(F55,H55)</x:f>
        <x:v>0</x:v>
      </x:c>
      <x:c r="J55" s="15" t="n">
        <x:f>F55-I55</x:f>
        <x:v>0</x:v>
      </x:c>
      <x:c r="K55" s="15" t="n">
        <x:f>MAX(H55-F55,0)</x:f>
        <x:v>300</x:v>
      </x:c>
    </x:row>
    <x:row r="56" ht="22" customHeight="1">
      <x:c r="A56" s="10" t="str">
        <x:v>V3</x:v>
      </x:c>
      <x:c r="B56" s="10" t="str">
        <x:v>U016</x:v>
      </x:c>
      <x:c r="C56" s="10" t="str">
        <x:v>测试人员16</x:v>
      </x:c>
      <x:c r="D56" s="10" t="str">
        <x:v>实施一部</x:v>
      </x:c>
      <x:c r="E56" s="16" t="n">
        <x:f>SUMIFS('分配计算'!$T$5:$T$148,'分配计算'!$A$5:$A$148,A56,'分配计算'!$D$5:$D$148,B56)</x:f>
        <x:v>1704.65</x:v>
      </x:c>
      <x:c r="F56" s="16" t="n">
        <x:f>SUMIFS('分配计算'!$V$5:$V$148,'分配计算'!$A$5:$A$148,A56,'分配计算'!$D$5:$D$148,B56)</x:f>
        <x:v>1363.72</x:v>
      </x:c>
      <x:c r="G56" s="16" t="n">
        <x:f>SUMIFS('分配计算'!$W$5:$W$148,'分配计算'!$A$5:$A$148,A56,'分配计算'!$D$5:$D$148,B56)</x:f>
        <x:v>340.93000000000006</x:v>
      </x:c>
      <x:c r="H56" s="16" t="n">
        <x:v>0</x:v>
      </x:c>
      <x:c r="I56" s="16" t="n">
        <x:f>MIN(F56,H56)</x:f>
        <x:v>0</x:v>
      </x:c>
      <x:c r="J56" s="16" t="n">
        <x:f>F56-I56</x:f>
        <x:v>1363.72</x:v>
      </x:c>
      <x:c r="K56" s="16" t="n">
        <x:f>MAX(H56-F56,0)</x:f>
        <x:v>0</x:v>
      </x:c>
    </x:row>
    <x:row r="57" ht="22" customHeight="1">
      <x:c r="A57" s="1" t="str">
        <x:v>V3</x:v>
      </x:c>
      <x:c r="B57" s="1" t="str">
        <x:v>U017</x:v>
      </x:c>
      <x:c r="C57" s="1" t="str">
        <x:v>测试人员17</x:v>
      </x:c>
      <x:c r="D57" s="1" t="str">
        <x:v>实施二部</x:v>
      </x:c>
      <x:c r="E57" s="15" t="n">
        <x:f>SUMIFS('分配计算'!$T$5:$T$148,'分配计算'!$A$5:$A$148,A57,'分配计算'!$D$5:$D$148,B57)</x:f>
        <x:v>1477.47</x:v>
      </x:c>
      <x:c r="F57" s="15" t="n">
        <x:f>SUMIFS('分配计算'!$V$5:$V$148,'分配计算'!$A$5:$A$148,A57,'分配计算'!$D$5:$D$148,B57)</x:f>
        <x:v>1181.98</x:v>
      </x:c>
      <x:c r="G57" s="15" t="n">
        <x:f>SUMIFS('分配计算'!$W$5:$W$148,'分配计算'!$A$5:$A$148,A57,'分配计算'!$D$5:$D$148,B57)</x:f>
        <x:v>295.49</x:v>
      </x:c>
      <x:c r="H57" s="15" t="n">
        <x:v>500</x:v>
      </x:c>
      <x:c r="I57" s="15" t="n">
        <x:f>MIN(F57,H57)</x:f>
        <x:v>500</x:v>
      </x:c>
      <x:c r="J57" s="15" t="n">
        <x:f>F57-I57</x:f>
        <x:v>681.98</x:v>
      </x:c>
      <x:c r="K57" s="15" t="n">
        <x:f>MAX(H57-F57,0)</x:f>
        <x:v>0</x:v>
      </x:c>
    </x:row>
    <x:row r="58" ht="22" customHeight="1">
      <x:c r="A58" s="10" t="str">
        <x:v>V3</x:v>
      </x:c>
      <x:c r="B58" s="10" t="str">
        <x:v>U018</x:v>
      </x:c>
      <x:c r="C58" s="10" t="str">
        <x:v>测试人员18</x:v>
      </x:c>
      <x:c r="D58" s="10" t="str">
        <x:v>技术中心</x:v>
      </x:c>
      <x:c r="E58" s="16" t="n">
        <x:f>SUMIFS('分配计算'!$T$5:$T$148,'分配计算'!$A$5:$A$148,A58,'分配计算'!$D$5:$D$148,B58)</x:f>
        <x:v>0</x:v>
      </x:c>
      <x:c r="F58" s="16" t="n">
        <x:f>SUMIFS('分配计算'!$V$5:$V$148,'分配计算'!$A$5:$A$148,A58,'分配计算'!$D$5:$D$148,B58)</x:f>
        <x:v>0</x:v>
      </x:c>
      <x:c r="G58" s="16" t="n">
        <x:f>SUMIFS('分配计算'!$W$5:$W$148,'分配计算'!$A$5:$A$148,A58,'分配计算'!$D$5:$D$148,B58)</x:f>
        <x:v>0</x:v>
      </x:c>
      <x:c r="H58" s="16" t="n">
        <x:v>1200</x:v>
      </x:c>
      <x:c r="I58" s="16" t="n">
        <x:f>MIN(F58,H58)</x:f>
        <x:v>0</x:v>
      </x:c>
      <x:c r="J58" s="16" t="n">
        <x:f>F58-I58</x:f>
        <x:v>0</x:v>
      </x:c>
      <x:c r="K58" s="16" t="n">
        <x:f>MAX(H58-F58,0)</x:f>
        <x:v>1200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9" hidden="0" customWidth="1"/>
    <x:col min="3" max="3" width="22" hidden="0" customWidth="1"/>
    <x:col min="4" max="4" width="22" hidden="0" customWidth="1"/>
    <x:col min="5" max="5" width="19" hidden="0" customWidth="1"/>
    <x:col min="6" max="6" width="22" hidden="0" customWidth="1"/>
    <x:col min="7" max="7" width="22" hidden="0" customWidth="1"/>
    <x:col min="8" max="8" width="22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22" hidden="0" customWidth="1"/>
    <x:col min="16" max="16" width="19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 ht="32" customHeight="1">
      <x:c r="A1" s="3" t="str">
        <x:v>项目计提步骤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4" customHeight="1">
      <x:c r="A2" s="5" t="str">
        <x:v>取数快照来源：02首轮Excel；V2/V3再合并04补充Excel并应用03补充通知。日期截止2026-12-31。</x:v>
      </x:c>
      <x:c r="B2" s="5"/>
      <x:c r="C2" s="5"/>
      <x:c r="D2" s="5"/>
      <x:c r="E2" s="5"/>
      <x:c r="F2" s="5"/>
      <x:c r="G2" s="5"/>
      <x:c r="H2" s="5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34" customHeight="1">
      <x:c r="A4" s="9" t="str">
        <x:v>版本</x:v>
      </x:c>
      <x:c r="B4" s="9" t="str">
        <x:v>项目编号</x:v>
      </x:c>
      <x:c r="C4" s="9" t="str">
        <x:v>项目名称</x:v>
      </x:c>
      <x:c r="D4" s="9" t="str">
        <x:v>符合验收资格</x:v>
      </x:c>
      <x:c r="E4" s="9" t="str">
        <x:v>合同额</x:v>
      </x:c>
      <x:c r="F4" s="9" t="str">
        <x:v>合格收款合计</x:v>
      </x:c>
      <x:c r="G4" s="9" t="str">
        <x:v>封顶后净回款</x:v>
      </x:c>
      <x:c r="H4" s="9" t="str">
        <x:v>合格费用（元）</x:v>
      </x:c>
      <x:c r="I4" s="9" t="str">
        <x:v>贡献毛利</x:v>
      </x:c>
      <x:c r="J4" s="9" t="str">
        <x:v>迟延天数</x:v>
      </x:c>
      <x:c r="K4" s="9" t="str">
        <x:v>日扣减率</x:v>
      </x:c>
      <x:c r="L4" s="9" t="str">
        <x:v>迟延下限</x:v>
      </x:c>
      <x:c r="M4" s="9" t="str">
        <x:v>评级系数</x:v>
      </x:c>
      <x:c r="N4" s="9" t="str">
        <x:v>迟延系数</x:v>
      </x:c>
      <x:c r="O4" s="9" t="str">
        <x:v>超额累进计提</x:v>
      </x:c>
      <x:c r="P4" s="9" t="str">
        <x:v>系数后金额</x:v>
      </x:c>
      <x:c r="Q4" s="9" t="str">
        <x:v>合同4%上限</x:v>
      </x:c>
      <x:c r="R4" s="9" t="str">
        <x:v>项目奖金包</x:v>
      </x:c>
      <x:c r="S4" s="9" t="str">
        <x:v>质保暂缓比例</x:v>
      </x:c>
    </x:row>
    <x:row r="5" ht="22" customHeight="1">
      <x:c r="A5" s="1" t="str">
        <x:v>V1</x:v>
      </x:c>
      <x:c r="B5" s="1" t="str">
        <x:v>J01</x:v>
      </x:c>
      <x:c r="C5" s="1" t="str">
        <x:v>仓储升级</x:v>
      </x:c>
      <x:c r="D5" s="1" t="n">
        <x:v>1</x:v>
      </x:c>
      <x:c r="E5" s="15" t="n">
        <x:v>1200000</x:v>
      </x:c>
      <x:c r="F5" s="15" t="n">
        <x:v>800000</x:v>
      </x:c>
      <x:c r="G5" s="15" t="n">
        <x:f>MAX(MIN(F5,E5),0)</x:f>
        <x:v>800000</x:v>
      </x:c>
      <x:c r="H5" s="15" t="n">
        <x:v>700000</x:v>
      </x:c>
      <x:c r="I5" s="15" t="n">
        <x:f>MAX(G5-H5,0)</x:f>
        <x:v>100000</x:v>
      </x:c>
      <x:c r="J5" s="1" t="n">
        <x:v>0</x:v>
      </x:c>
      <x:c r="K5" s="19" t="n">
        <x:v>0.02</x:v>
      </x:c>
      <x:c r="L5" s="19" t="n">
        <x:v>0.7</x:v>
      </x:c>
      <x:c r="M5" s="19" t="n">
        <x:v>1.15</x:v>
      </x:c>
      <x:c r="N5" s="19" t="n">
        <x:f>MAX(L5,1-K5*J5)</x:f>
        <x:v>1</x:v>
      </x:c>
      <x:c r="O5" s="17" t="n">
        <x:f>MIN(I5,'制度参数'!$B$7)*'制度参数'!$B$9+MIN(MAX(I5-'制度参数'!$B$7,0),'制度参数'!$B$8-'制度参数'!$B$7)*'制度参数'!$B$10+MAX(I5-'制度参数'!$B$8,0)*'制度参数'!$B$11</x:f>
        <x:v>5000</x:v>
      </x:c>
      <x:c r="P5" s="15" t="n">
        <x:f>O5*M5*N5</x:f>
        <x:v>5750</x:v>
      </x:c>
      <x:c r="Q5" s="17" t="n">
        <x:f>E5*'制度参数'!$B$21</x:f>
        <x:v>48000</x:v>
      </x:c>
      <x:c r="R5" s="15" t="n">
        <x:f>IF(D5=1,ROUND(MIN(P5,Q5),2),0)</x:f>
        <x:v>5750</x:v>
      </x:c>
      <x:c r="S5" s="21" t="n">
        <x:v>0.2</x:v>
      </x:c>
    </x:row>
    <x:row r="6" ht="22" customHeight="1">
      <x:c r="A6" s="10" t="str">
        <x:v>V1</x:v>
      </x:c>
      <x:c r="B6" s="10" t="str">
        <x:v>J02</x:v>
      </x:c>
      <x:c r="C6" s="10" t="str">
        <x:v>门店联网</x:v>
      </x:c>
      <x:c r="D6" s="10" t="n">
        <x:v>1</x:v>
      </x:c>
      <x:c r="E6" s="16" t="n">
        <x:v>900000</x:v>
      </x:c>
      <x:c r="F6" s="16" t="n">
        <x:v>750000</x:v>
      </x:c>
      <x:c r="G6" s="16" t="n">
        <x:f>MAX(MIN(F6,E6),0)</x:f>
        <x:v>750000</x:v>
      </x:c>
      <x:c r="H6" s="16" t="n">
        <x:v>450000</x:v>
      </x:c>
      <x:c r="I6" s="16" t="n">
        <x:f>MAX(G6-H6,0)</x:f>
        <x:v>300000</x:v>
      </x:c>
      <x:c r="J6" s="10" t="n">
        <x:v>5</x:v>
      </x:c>
      <x:c r="K6" s="20" t="n">
        <x:v>0.02</x:v>
      </x:c>
      <x:c r="L6" s="20" t="n">
        <x:v>0.7</x:v>
      </x:c>
      <x:c r="M6" s="20" t="n">
        <x:v>1</x:v>
      </x:c>
      <x:c r="N6" s="20" t="n">
        <x:f>MAX(L6,1-K6*J6)</x:f>
        <x:v>0.9</x:v>
      </x:c>
      <x:c r="O6" s="18" t="n">
        <x:f>MIN(I6,'制度参数'!$B$7)*'制度参数'!$B$9+MIN(MAX(I6-'制度参数'!$B$7,0),'制度参数'!$B$8-'制度参数'!$B$7)*'制度参数'!$B$10+MAX(I6-'制度参数'!$B$8,0)*'制度参数'!$B$11</x:f>
        <x:v>21000</x:v>
      </x:c>
      <x:c r="P6" s="16" t="n">
        <x:f>O6*M6*N6</x:f>
        <x:v>18900</x:v>
      </x:c>
      <x:c r="Q6" s="18" t="n">
        <x:f>E6*'制度参数'!$B$21</x:f>
        <x:v>36000</x:v>
      </x:c>
      <x:c r="R6" s="16" t="n">
        <x:f>IF(D6=1,ROUND(MIN(P6,Q6),2),0)</x:f>
        <x:v>18900</x:v>
      </x:c>
      <x:c r="S6" s="22" t="n">
        <x:v>0</x:v>
      </x:c>
    </x:row>
    <x:row r="7" ht="22" customHeight="1">
      <x:c r="A7" s="1" t="str">
        <x:v>V1</x:v>
      </x:c>
      <x:c r="B7" s="1" t="str">
        <x:v>J03</x:v>
      </x:c>
      <x:c r="C7" s="1" t="str">
        <x:v>生产看板</x:v>
      </x:c>
      <x:c r="D7" s="1" t="n">
        <x:v>1</x:v>
      </x:c>
      <x:c r="E7" s="15" t="n">
        <x:v>1500000</x:v>
      </x:c>
      <x:c r="F7" s="15" t="n">
        <x:v>1100000</x:v>
      </x:c>
      <x:c r="G7" s="15" t="n">
        <x:f>MAX(MIN(F7,E7),0)</x:f>
        <x:v>1100000</x:v>
      </x:c>
      <x:c r="H7" s="15" t="n">
        <x:v>580000</x:v>
      </x:c>
      <x:c r="I7" s="15" t="n">
        <x:f>MAX(G7-H7,0)</x:f>
        <x:v>520000</x:v>
      </x:c>
      <x:c r="J7" s="1" t="n">
        <x:v>20</x:v>
      </x:c>
      <x:c r="K7" s="19" t="n">
        <x:v>0.02</x:v>
      </x:c>
      <x:c r="L7" s="19" t="n">
        <x:v>0.7</x:v>
      </x:c>
      <x:c r="M7" s="19" t="n">
        <x:v>1.15</x:v>
      </x:c>
      <x:c r="N7" s="19" t="n">
        <x:f>MAX(L7,1-K7*J7)</x:f>
        <x:v>0.7</x:v>
      </x:c>
      <x:c r="O7" s="17" t="n">
        <x:f>MIN(I7,'制度参数'!$B$7)*'制度参数'!$B$9+MIN(MAX(I7-'制度参数'!$B$7,0),'制度参数'!$B$8-'制度参数'!$B$7)*'制度参数'!$B$10+MAX(I7-'制度参数'!$B$8,0)*'制度参数'!$B$11</x:f>
        <x:v>43000</x:v>
      </x:c>
      <x:c r="P7" s="15" t="n">
        <x:f>O7*M7*N7</x:f>
        <x:v>34614.99999999999</x:v>
      </x:c>
      <x:c r="Q7" s="17" t="n">
        <x:f>E7*'制度参数'!$B$21</x:f>
        <x:v>60000</x:v>
      </x:c>
      <x:c r="R7" s="15" t="n">
        <x:f>IF(D7=1,ROUND(MIN(P7,Q7),2),0)</x:f>
        <x:v>34615</x:v>
      </x:c>
      <x:c r="S7" s="21" t="n">
        <x:v>0.2</x:v>
      </x:c>
    </x:row>
    <x:row r="8" ht="22" customHeight="1">
      <x:c r="A8" s="10" t="str">
        <x:v>V1</x:v>
      </x:c>
      <x:c r="B8" s="10" t="str">
        <x:v>J04</x:v>
      </x:c>
      <x:c r="C8" s="10" t="str">
        <x:v>设备迁移</x:v>
      </x:c>
      <x:c r="D8" s="10" t="n">
        <x:v>1</x:v>
      </x:c>
      <x:c r="E8" s="16" t="n">
        <x:v>500000</x:v>
      </x:c>
      <x:c r="F8" s="16" t="n">
        <x:v>250000</x:v>
      </x:c>
      <x:c r="G8" s="16" t="n">
        <x:f>MAX(MIN(F8,E8),0)</x:f>
        <x:v>250000</x:v>
      </x:c>
      <x:c r="H8" s="16" t="n">
        <x:v>250000</x:v>
      </x:c>
      <x:c r="I8" s="16" t="n">
        <x:f>MAX(G8-H8,0)</x:f>
        <x:v>0</x:v>
      </x:c>
      <x:c r="J8" s="10" t="n">
        <x:v>0</x:v>
      </x:c>
      <x:c r="K8" s="20" t="n">
        <x:v>0.02</x:v>
      </x:c>
      <x:c r="L8" s="20" t="n">
        <x:v>0.7</x:v>
      </x:c>
      <x:c r="M8" s="20" t="n">
        <x:v>0.8</x:v>
      </x:c>
      <x:c r="N8" s="20" t="n">
        <x:f>MAX(L8,1-K8*J8)</x:f>
        <x:v>1</x:v>
      </x:c>
      <x:c r="O8" s="18" t="n">
        <x:f>MIN(I8,'制度参数'!$B$7)*'制度参数'!$B$9+MIN(MAX(I8-'制度参数'!$B$7,0),'制度参数'!$B$8-'制度参数'!$B$7)*'制度参数'!$B$10+MAX(I8-'制度参数'!$B$8,0)*'制度参数'!$B$11</x:f>
        <x:v>0</x:v>
      </x:c>
      <x:c r="P8" s="16" t="n">
        <x:f>O8*M8*N8</x:f>
        <x:v>0</x:v>
      </x:c>
      <x:c r="Q8" s="18" t="n">
        <x:f>E8*'制度参数'!$B$21</x:f>
        <x:v>20000</x:v>
      </x:c>
      <x:c r="R8" s="16" t="n">
        <x:f>IF(D8=1,ROUND(MIN(P8,Q8),2),0)</x:f>
        <x:v>0</x:v>
      </x:c>
      <x:c r="S8" s="22" t="n">
        <x:v>0</x:v>
      </x:c>
    </x:row>
    <x:row r="9" ht="22" customHeight="1">
      <x:c r="A9" s="1" t="str">
        <x:v>V1</x:v>
      </x:c>
      <x:c r="B9" s="1" t="str">
        <x:v>J05</x:v>
      </x:c>
      <x:c r="C9" s="1" t="str">
        <x:v>园区接入</x:v>
      </x:c>
      <x:c r="D9" s="1" t="n">
        <x:v>0</x:v>
      </x:c>
      <x:c r="E9" s="15" t="n">
        <x:v>800000</x:v>
      </x:c>
      <x:c r="F9" s="15" t="n">
        <x:v>450000</x:v>
      </x:c>
      <x:c r="G9" s="15" t="n">
        <x:f>MAX(MIN(F9,E9),0)</x:f>
        <x:v>450000</x:v>
      </x:c>
      <x:c r="H9" s="15" t="n">
        <x:v>200000</x:v>
      </x:c>
      <x:c r="I9" s="15" t="n">
        <x:f>MAX(G9-H9,0)</x:f>
        <x:v>250000</x:v>
      </x:c>
      <x:c r="J9" s="1" t="n">
        <x:v>0</x:v>
      </x:c>
      <x:c r="K9" s="19" t="n">
        <x:v>0.02</x:v>
      </x:c>
      <x:c r="L9" s="19" t="n">
        <x:v>0.7</x:v>
      </x:c>
      <x:c r="M9" s="19" t="n">
        <x:v>1</x:v>
      </x:c>
      <x:c r="N9" s="19" t="n">
        <x:f>MAX(L9,1-K9*J9)</x:f>
        <x:v>1</x:v>
      </x:c>
      <x:c r="O9" s="17" t="n">
        <x:f>MIN(I9,'制度参数'!$B$7)*'制度参数'!$B$9+MIN(MAX(I9-'制度参数'!$B$7,0),'制度参数'!$B$8-'制度参数'!$B$7)*'制度参数'!$B$10+MAX(I9-'制度参数'!$B$8,0)*'制度参数'!$B$11</x:f>
        <x:v>17000</x:v>
      </x:c>
      <x:c r="P9" s="15" t="n">
        <x:f>O9*M9*N9</x:f>
        <x:v>17000</x:v>
      </x:c>
      <x:c r="Q9" s="17" t="n">
        <x:f>E9*'制度参数'!$B$21</x:f>
        <x:v>32000</x:v>
      </x:c>
      <x:c r="R9" s="15" t="n">
        <x:f>IF(D9=1,ROUND(MIN(P9,Q9),2),0)</x:f>
        <x:v>0</x:v>
      </x:c>
      <x:c r="S9" s="21" t="n">
        <x:v>0.2</x:v>
      </x:c>
    </x:row>
    <x:row r="10" ht="22" customHeight="1">
      <x:c r="A10" s="10" t="str">
        <x:v>V1</x:v>
      </x:c>
      <x:c r="B10" s="10" t="str">
        <x:v>J06</x:v>
      </x:c>
      <x:c r="C10" s="10" t="str">
        <x:v>历史改造</x:v>
      </x:c>
      <x:c r="D10" s="10" t="n">
        <x:v>0</x:v>
      </x:c>
      <x:c r="E10" s="16" t="n">
        <x:v>2000000</x:v>
      </x:c>
      <x:c r="F10" s="16" t="n">
        <x:v>1500000</x:v>
      </x:c>
      <x:c r="G10" s="16" t="n">
        <x:f>MAX(MIN(F10,E10),0)</x:f>
        <x:v>1500000</x:v>
      </x:c>
      <x:c r="H10" s="16" t="n">
        <x:v>700000</x:v>
      </x:c>
      <x:c r="I10" s="16" t="n">
        <x:f>MAX(G10-H10,0)</x:f>
        <x:v>800000</x:v>
      </x:c>
      <x:c r="J10" s="10" t="n">
        <x:v>0</x:v>
      </x:c>
      <x:c r="K10" s="20" t="n">
        <x:v>0.02</x:v>
      </x:c>
      <x:c r="L10" s="20" t="n">
        <x:v>0.7</x:v>
      </x:c>
      <x:c r="M10" s="20" t="n">
        <x:v>1.15</x:v>
      </x:c>
      <x:c r="N10" s="20" t="n">
        <x:f>MAX(L10,1-K10*J10)</x:f>
        <x:v>1</x:v>
      </x:c>
      <x:c r="O10" s="18" t="n">
        <x:f>MIN(I10,'制度参数'!$B$7)*'制度参数'!$B$9+MIN(MAX(I10-'制度参数'!$B$7,0),'制度参数'!$B$8-'制度参数'!$B$7)*'制度参数'!$B$10+MAX(I10-'制度参数'!$B$8,0)*'制度参数'!$B$11</x:f>
        <x:v>71000</x:v>
      </x:c>
      <x:c r="P10" s="16" t="n">
        <x:f>O10*M10*N10</x:f>
        <x:v>81650</x:v>
      </x:c>
      <x:c r="Q10" s="18" t="n">
        <x:f>E10*'制度参数'!$B$21</x:f>
        <x:v>80000</x:v>
      </x:c>
      <x:c r="R10" s="16" t="n">
        <x:f>IF(D10=1,ROUND(MIN(P10,Q10),2),0)</x:f>
        <x:v>0</x:v>
      </x:c>
      <x:c r="S10" s="22" t="n">
        <x:v>0.2</x:v>
      </x:c>
    </x:row>
    <x:row r="11" ht="22" customHeight="1">
      <x:c r="A11" s="1" t="str">
        <x:v>V1</x:v>
      </x:c>
      <x:c r="B11" s="1" t="str">
        <x:v>J07</x:v>
      </x:c>
      <x:c r="C11" s="1" t="str">
        <x:v>旧系统迁移</x:v>
      </x:c>
      <x:c r="D11" s="1" t="n">
        <x:v>1</x:v>
      </x:c>
      <x:c r="E11" s="15" t="n">
        <x:v>600000</x:v>
      </x:c>
      <x:c r="F11" s="15" t="n">
        <x:v>300000</x:v>
      </x:c>
      <x:c r="G11" s="15" t="n">
        <x:f>MAX(MIN(F11,E11),0)</x:f>
        <x:v>300000</x:v>
      </x:c>
      <x:c r="H11" s="15" t="n">
        <x:v>320000</x:v>
      </x:c>
      <x:c r="I11" s="15" t="n">
        <x:f>MAX(G11-H11,0)</x:f>
        <x:v>0</x:v>
      </x:c>
      <x:c r="J11" s="1" t="n">
        <x:v>2</x:v>
      </x:c>
      <x:c r="K11" s="19" t="n">
        <x:v>0.02</x:v>
      </x:c>
      <x:c r="L11" s="19" t="n">
        <x:v>0.7</x:v>
      </x:c>
      <x:c r="M11" s="19" t="n">
        <x:v>1</x:v>
      </x:c>
      <x:c r="N11" s="19" t="n">
        <x:f>MAX(L11,1-K11*J11)</x:f>
        <x:v>0.96</x:v>
      </x:c>
      <x:c r="O11" s="17" t="n">
        <x:f>MIN(I11,'制度参数'!$B$7)*'制度参数'!$B$9+MIN(MAX(I11-'制度参数'!$B$7,0),'制度参数'!$B$8-'制度参数'!$B$7)*'制度参数'!$B$10+MAX(I11-'制度参数'!$B$8,0)*'制度参数'!$B$11</x:f>
        <x:v>0</x:v>
      </x:c>
      <x:c r="P11" s="15" t="n">
        <x:f>O11*M11*N11</x:f>
        <x:v>0</x:v>
      </x:c>
      <x:c r="Q11" s="17" t="n">
        <x:f>E11*'制度参数'!$B$21</x:f>
        <x:v>24000</x:v>
      </x:c>
      <x:c r="R11" s="15" t="n">
        <x:f>IF(D11=1,ROUND(MIN(P11,Q11),2),0)</x:f>
        <x:v>0</x:v>
      </x:c>
      <x:c r="S11" s="21" t="n">
        <x:v>0.2</x:v>
      </x:c>
    </x:row>
    <x:row r="12" ht="22" customHeight="1">
      <x:c r="A12" s="10" t="str">
        <x:v>V1</x:v>
      </x:c>
      <x:c r="B12" s="10" t="str">
        <x:v>J08</x:v>
      </x:c>
      <x:c r="C12" s="10" t="str">
        <x:v>客服平台</x:v>
      </x:c>
      <x:c r="D12" s="10" t="n">
        <x:v>1</x:v>
      </x:c>
      <x:c r="E12" s="16" t="n">
        <x:v>1000000</x:v>
      </x:c>
      <x:c r="F12" s="16" t="n">
        <x:v>700000</x:v>
      </x:c>
      <x:c r="G12" s="16" t="n">
        <x:f>MAX(MIN(F12,E12),0)</x:f>
        <x:v>700000</x:v>
      </x:c>
      <x:c r="H12" s="16" t="n">
        <x:v>520000</x:v>
      </x:c>
      <x:c r="I12" s="16" t="n">
        <x:f>MAX(G12-H12,0)</x:f>
        <x:v>180000</x:v>
      </x:c>
      <x:c r="J12" s="10" t="n">
        <x:v>50</x:v>
      </x:c>
      <x:c r="K12" s="20" t="n">
        <x:v>0.02</x:v>
      </x:c>
      <x:c r="L12" s="20" t="n">
        <x:v>0.7</x:v>
      </x:c>
      <x:c r="M12" s="20" t="n">
        <x:v>0.8</x:v>
      </x:c>
      <x:c r="N12" s="20" t="n">
        <x:f>MAX(L12,1-K12*J12)</x:f>
        <x:v>0.7</x:v>
      </x:c>
      <x:c r="O12" s="18" t="n">
        <x:f>MIN(I12,'制度参数'!$B$7)*'制度参数'!$B$9+MIN(MAX(I12-'制度参数'!$B$7,0),'制度参数'!$B$8-'制度参数'!$B$7)*'制度参数'!$B$10+MAX(I12-'制度参数'!$B$8,0)*'制度参数'!$B$11</x:f>
        <x:v>11400</x:v>
      </x:c>
      <x:c r="P12" s="16" t="n">
        <x:f>O12*M12*N12</x:f>
        <x:v>6384</x:v>
      </x:c>
      <x:c r="Q12" s="18" t="n">
        <x:f>E12*'制度参数'!$B$21</x:f>
        <x:v>40000</x:v>
      </x:c>
      <x:c r="R12" s="16" t="n">
        <x:f>IF(D12=1,ROUND(MIN(P12,Q12),2),0)</x:f>
        <x:v>6384</x:v>
      </x:c>
      <x:c r="S12" s="22" t="n">
        <x:v>0.2</x:v>
      </x:c>
    </x:row>
    <x:row r="13" ht="22" customHeight="1">
      <x:c r="A13" s="1" t="str">
        <x:v>V1</x:v>
      </x:c>
      <x:c r="B13" s="1" t="str">
        <x:v>J09</x:v>
      </x:c>
      <x:c r="C13" s="1" t="str">
        <x:v>数据治理</x:v>
      </x:c>
      <x:c r="D13" s="1" t="n">
        <x:v>0</x:v>
      </x:c>
      <x:c r="E13" s="15" t="n">
        <x:v>750000</x:v>
      </x:c>
      <x:c r="F13" s="15" t="n">
        <x:v>500000</x:v>
      </x:c>
      <x:c r="G13" s="15" t="n">
        <x:f>MAX(MIN(F13,E13),0)</x:f>
        <x:v>500000</x:v>
      </x:c>
      <x:c r="H13" s="15" t="n">
        <x:v>280000</x:v>
      </x:c>
      <x:c r="I13" s="15" t="n">
        <x:f>MAX(G13-H13,0)</x:f>
        <x:v>220000</x:v>
      </x:c>
      <x:c r="J13" s="1" t="n">
        <x:v>10</x:v>
      </x:c>
      <x:c r="K13" s="19" t="n">
        <x:v>0.02</x:v>
      </x:c>
      <x:c r="L13" s="19" t="n">
        <x:v>0.7</x:v>
      </x:c>
      <x:c r="M13" s="19" t="n">
        <x:v>1</x:v>
      </x:c>
      <x:c r="N13" s="19" t="n">
        <x:f>MAX(L13,1-K13*J13)</x:f>
        <x:v>0.8</x:v>
      </x:c>
      <x:c r="O13" s="17" t="n">
        <x:f>MIN(I13,'制度参数'!$B$7)*'制度参数'!$B$9+MIN(MAX(I13-'制度参数'!$B$7,0),'制度参数'!$B$8-'制度参数'!$B$7)*'制度参数'!$B$10+MAX(I13-'制度参数'!$B$8,0)*'制度参数'!$B$11</x:f>
        <x:v>14600</x:v>
      </x:c>
      <x:c r="P13" s="15" t="n">
        <x:f>O13*M13*N13</x:f>
        <x:v>11680</x:v>
      </x:c>
      <x:c r="Q13" s="17" t="n">
        <x:f>E13*'制度参数'!$B$21</x:f>
        <x:v>30000</x:v>
      </x:c>
      <x:c r="R13" s="15" t="n">
        <x:f>IF(D13=1,ROUND(MIN(P13,Q13),2),0)</x:f>
        <x:v>0</x:v>
      </x:c>
      <x:c r="S13" s="21" t="n">
        <x:v>0.2</x:v>
      </x:c>
    </x:row>
    <x:row r="14" ht="22" customHeight="1">
      <x:c r="A14" s="10" t="str">
        <x:v>V1</x:v>
      </x:c>
      <x:c r="B14" s="10" t="str">
        <x:v>J10</x:v>
      </x:c>
      <x:c r="C14" s="10" t="str">
        <x:v>轻量部署</x:v>
      </x:c>
      <x:c r="D14" s="10" t="n">
        <x:v>1</x:v>
      </x:c>
      <x:c r="E14" s="16" t="n">
        <x:v>200000</x:v>
      </x:c>
      <x:c r="F14" s="16" t="n">
        <x:v>200000</x:v>
      </x:c>
      <x:c r="G14" s="16" t="n">
        <x:f>MAX(MIN(F14,E14),0)</x:f>
        <x:v>200000</x:v>
      </x:c>
      <x:c r="H14" s="16" t="n">
        <x:v>0</x:v>
      </x:c>
      <x:c r="I14" s="16" t="n">
        <x:f>MAX(G14-H14,0)</x:f>
        <x:v>200000</x:v>
      </x:c>
      <x:c r="J14" s="10" t="n">
        <x:v>0</x:v>
      </x:c>
      <x:c r="K14" s="20" t="n">
        <x:v>0.02</x:v>
      </x:c>
      <x:c r="L14" s="20" t="n">
        <x:v>0.7</x:v>
      </x:c>
      <x:c r="M14" s="20" t="n">
        <x:v>1.15</x:v>
      </x:c>
      <x:c r="N14" s="20" t="n">
        <x:f>MAX(L14,1-K14*J14)</x:f>
        <x:v>1</x:v>
      </x:c>
      <x:c r="O14" s="18" t="n">
        <x:f>MIN(I14,'制度参数'!$B$7)*'制度参数'!$B$9+MIN(MAX(I14-'制度参数'!$B$7,0),'制度参数'!$B$8-'制度参数'!$B$7)*'制度参数'!$B$10+MAX(I14-'制度参数'!$B$8,0)*'制度参数'!$B$11</x:f>
        <x:v>13000</x:v>
      </x:c>
      <x:c r="P14" s="16" t="n">
        <x:f>O14*M14*N14</x:f>
        <x:v>14949.999999999998</x:v>
      </x:c>
      <x:c r="Q14" s="18" t="n">
        <x:f>E14*'制度参数'!$B$21</x:f>
        <x:v>8000</x:v>
      </x:c>
      <x:c r="R14" s="16" t="n">
        <x:f>IF(D14=1,ROUND(MIN(P14,Q14),2),0)</x:f>
        <x:v>8000</x:v>
      </x:c>
      <x:c r="S14" s="22" t="n">
        <x:v>0</x:v>
      </x:c>
    </x:row>
    <x:row r="15" ht="22" customHeight="1">
      <x:c r="A15" s="1" t="str">
        <x:v>V1</x:v>
      </x:c>
      <x:c r="B15" s="1" t="str">
        <x:v>J11</x:v>
      </x:c>
      <x:c r="C15" s="1" t="str">
        <x:v>跨年验收</x:v>
      </x:c>
      <x:c r="D15" s="1" t="n">
        <x:v>0</x:v>
      </x:c>
      <x:c r="E15" s="15" t="n">
        <x:v>400000</x:v>
      </x:c>
      <x:c r="F15" s="15" t="n">
        <x:v>200000</x:v>
      </x:c>
      <x:c r="G15" s="15" t="n">
        <x:f>MAX(MIN(F15,E15),0)</x:f>
        <x:v>200000</x:v>
      </x:c>
      <x:c r="H15" s="15" t="n">
        <x:v>200000</x:v>
      </x:c>
      <x:c r="I15" s="15" t="n">
        <x:f>MAX(G15-H15,0)</x:f>
        <x:v>0</x:v>
      </x:c>
      <x:c r="J15" s="1" t="n">
        <x:v>0</x:v>
      </x:c>
      <x:c r="K15" s="19" t="n">
        <x:v>0.02</x:v>
      </x:c>
      <x:c r="L15" s="19" t="n">
        <x:v>0.7</x:v>
      </x:c>
      <x:c r="M15" s="19" t="n">
        <x:v>1</x:v>
      </x:c>
      <x:c r="N15" s="19" t="n">
        <x:f>MAX(L15,1-K15*J15)</x:f>
        <x:v>1</x:v>
      </x:c>
      <x:c r="O15" s="17" t="n">
        <x:f>MIN(I15,'制度参数'!$B$7)*'制度参数'!$B$9+MIN(MAX(I15-'制度参数'!$B$7,0),'制度参数'!$B$8-'制度参数'!$B$7)*'制度参数'!$B$10+MAX(I15-'制度参数'!$B$8,0)*'制度参数'!$B$11</x:f>
        <x:v>0</x:v>
      </x:c>
      <x:c r="P15" s="15" t="n">
        <x:f>O15*M15*N15</x:f>
        <x:v>0</x:v>
      </x:c>
      <x:c r="Q15" s="17" t="n">
        <x:f>E15*'制度参数'!$B$21</x:f>
        <x:v>16000</x:v>
      </x:c>
      <x:c r="R15" s="15" t="n">
        <x:f>IF(D15=1,ROUND(MIN(P15,Q15),2),0)</x:f>
        <x:v>0</x:v>
      </x:c>
      <x:c r="S15" s="21" t="n">
        <x:v>0.2</x:v>
      </x:c>
    </x:row>
    <x:row r="16" ht="22" customHeight="1">
      <x:c r="A16" s="10" t="str">
        <x:v>V1</x:v>
      </x:c>
      <x:c r="B16" s="10" t="str">
        <x:v>J12</x:v>
      </x:c>
      <x:c r="C16" s="10" t="str">
        <x:v>远程运维</x:v>
      </x:c>
      <x:c r="D16" s="10" t="n">
        <x:v>1</x:v>
      </x:c>
      <x:c r="E16" s="16" t="n">
        <x:v>650000</x:v>
      </x:c>
      <x:c r="F16" s="16" t="n">
        <x:v>350000</x:v>
      </x:c>
      <x:c r="G16" s="16" t="n">
        <x:f>MAX(MIN(F16,E16),0)</x:f>
        <x:v>350000</x:v>
      </x:c>
      <x:c r="H16" s="16" t="n">
        <x:v>310000</x:v>
      </x:c>
      <x:c r="I16" s="16" t="n">
        <x:f>MAX(G16-H16,0)</x:f>
        <x:v>40000</x:v>
      </x:c>
      <x:c r="J16" s="10" t="n">
        <x:v>3</x:v>
      </x:c>
      <x:c r="K16" s="20" t="n">
        <x:v>0.02</x:v>
      </x:c>
      <x:c r="L16" s="20" t="n">
        <x:v>0.7</x:v>
      </x:c>
      <x:c r="M16" s="20" t="n">
        <x:v>1</x:v>
      </x:c>
      <x:c r="N16" s="20" t="n">
        <x:f>MAX(L16,1-K16*J16)</x:f>
        <x:v>0.94</x:v>
      </x:c>
      <x:c r="O16" s="18" t="n">
        <x:f>MIN(I16,'制度参数'!$B$7)*'制度参数'!$B$9+MIN(MAX(I16-'制度参数'!$B$7,0),'制度参数'!$B$8-'制度参数'!$B$7)*'制度参数'!$B$10+MAX(I16-'制度参数'!$B$8,0)*'制度参数'!$B$11</x:f>
        <x:v>2000</x:v>
      </x:c>
      <x:c r="P16" s="16" t="n">
        <x:f>O16*M16*N16</x:f>
        <x:v>1880</x:v>
      </x:c>
      <x:c r="Q16" s="18" t="n">
        <x:f>E16*'制度参数'!$B$21</x:f>
        <x:v>26000</x:v>
      </x:c>
      <x:c r="R16" s="16" t="n">
        <x:f>IF(D16=1,ROUND(MIN(P16,Q16),2),0)</x:f>
        <x:v>1880</x:v>
      </x:c>
      <x:c r="S16" s="22" t="n">
        <x:v>0.2</x:v>
      </x:c>
    </x:row>
    <x:row r="17" ht="22" customHeight="1">
      <x:c r="A17" s="1" t="str">
        <x:v>V2</x:v>
      </x:c>
      <x:c r="B17" s="1" t="str">
        <x:v>J01</x:v>
      </x:c>
      <x:c r="C17" s="1" t="str">
        <x:v>仓储升级</x:v>
      </x:c>
      <x:c r="D17" s="1" t="n">
        <x:v>1</x:v>
      </x:c>
      <x:c r="E17" s="15" t="n">
        <x:v>1200000</x:v>
      </x:c>
      <x:c r="F17" s="15" t="n">
        <x:v>920000</x:v>
      </x:c>
      <x:c r="G17" s="15" t="n">
        <x:f>MAX(MIN(F17,E17),0)</x:f>
        <x:v>920000</x:v>
      </x:c>
      <x:c r="H17" s="15" t="n">
        <x:v>717000</x:v>
      </x:c>
      <x:c r="I17" s="15" t="n">
        <x:f>MAX(G17-H17,0)</x:f>
        <x:v>203000</x:v>
      </x:c>
      <x:c r="J17" s="1" t="n">
        <x:v>0</x:v>
      </x:c>
      <x:c r="K17" s="19" t="n">
        <x:v>0.01</x:v>
      </x:c>
      <x:c r="L17" s="19" t="n">
        <x:v>0.8</x:v>
      </x:c>
      <x:c r="M17" s="19" t="n">
        <x:v>1.15</x:v>
      </x:c>
      <x:c r="N17" s="19" t="n">
        <x:f>MAX(L17,1-K17*J17)</x:f>
        <x:v>1</x:v>
      </x:c>
      <x:c r="O17" s="17" t="n">
        <x:f>MIN(I17,'制度参数'!$B$7)*'制度参数'!$B$9+MIN(MAX(I17-'制度参数'!$B$7,0),'制度参数'!$B$8-'制度参数'!$B$7)*'制度参数'!$B$10+MAX(I17-'制度参数'!$B$8,0)*'制度参数'!$B$11</x:f>
        <x:v>13240</x:v>
      </x:c>
      <x:c r="P17" s="15" t="n">
        <x:f>O17*M17*N17</x:f>
        <x:v>15225.999999999998</x:v>
      </x:c>
      <x:c r="Q17" s="17" t="n">
        <x:f>E17*'制度参数'!$B$21</x:f>
        <x:v>48000</x:v>
      </x:c>
      <x:c r="R17" s="15" t="n">
        <x:f>IF(D17=1,ROUND(MIN(P17,Q17),2),0)</x:f>
        <x:v>15226</x:v>
      </x:c>
      <x:c r="S17" s="21" t="n">
        <x:v>0.2</x:v>
      </x:c>
    </x:row>
    <x:row r="18" ht="22" customHeight="1">
      <x:c r="A18" s="10" t="str">
        <x:v>V2</x:v>
      </x:c>
      <x:c r="B18" s="10" t="str">
        <x:v>J02</x:v>
      </x:c>
      <x:c r="C18" s="10" t="str">
        <x:v>门店联网</x:v>
      </x:c>
      <x:c r="D18" s="10" t="n">
        <x:v>1</x:v>
      </x:c>
      <x:c r="E18" s="16" t="n">
        <x:v>900000</x:v>
      </x:c>
      <x:c r="F18" s="16" t="n">
        <x:v>720000</x:v>
      </x:c>
      <x:c r="G18" s="16" t="n">
        <x:f>MAX(MIN(F18,E18),0)</x:f>
        <x:v>720000</x:v>
      </x:c>
      <x:c r="H18" s="16" t="n">
        <x:v>450000</x:v>
      </x:c>
      <x:c r="I18" s="16" t="n">
        <x:f>MAX(G18-H18,0)</x:f>
        <x:v>270000</x:v>
      </x:c>
      <x:c r="J18" s="10" t="n">
        <x:v>5</x:v>
      </x:c>
      <x:c r="K18" s="20" t="n">
        <x:v>0.01</x:v>
      </x:c>
      <x:c r="L18" s="20" t="n">
        <x:v>0.8</x:v>
      </x:c>
      <x:c r="M18" s="20" t="n">
        <x:v>1</x:v>
      </x:c>
      <x:c r="N18" s="20" t="n">
        <x:f>MAX(L18,1-K18*J18)</x:f>
        <x:v>0.95</x:v>
      </x:c>
      <x:c r="O18" s="18" t="n">
        <x:f>MIN(I18,'制度参数'!$B$7)*'制度参数'!$B$9+MIN(MAX(I18-'制度参数'!$B$7,0),'制度参数'!$B$8-'制度参数'!$B$7)*'制度参数'!$B$10+MAX(I18-'制度参数'!$B$8,0)*'制度参数'!$B$11</x:f>
        <x:v>18600</x:v>
      </x:c>
      <x:c r="P18" s="16" t="n">
        <x:f>O18*M18*N18</x:f>
        <x:v>17670</x:v>
      </x:c>
      <x:c r="Q18" s="18" t="n">
        <x:f>E18*'制度参数'!$B$21</x:f>
        <x:v>36000</x:v>
      </x:c>
      <x:c r="R18" s="16" t="n">
        <x:f>IF(D18=1,ROUND(MIN(P18,Q18),2),0)</x:f>
        <x:v>17670</x:v>
      </x:c>
      <x:c r="S18" s="22" t="n">
        <x:v>0</x:v>
      </x:c>
    </x:row>
    <x:row r="19" ht="22" customHeight="1">
      <x:c r="A19" s="1" t="str">
        <x:v>V2</x:v>
      </x:c>
      <x:c r="B19" s="1" t="str">
        <x:v>J03</x:v>
      </x:c>
      <x:c r="C19" s="1" t="str">
        <x:v>生产看板</x:v>
      </x:c>
      <x:c r="D19" s="1" t="n">
        <x:v>1</x:v>
      </x:c>
      <x:c r="E19" s="15" t="n">
        <x:v>1500000</x:v>
      </x:c>
      <x:c r="F19" s="15" t="n">
        <x:v>1260000</x:v>
      </x:c>
      <x:c r="G19" s="15" t="n">
        <x:f>MAX(MIN(F19,E19),0)</x:f>
        <x:v>1260000</x:v>
      </x:c>
      <x:c r="H19" s="15" t="n">
        <x:v>613000</x:v>
      </x:c>
      <x:c r="I19" s="15" t="n">
        <x:f>MAX(G19-H19,0)</x:f>
        <x:v>647000</x:v>
      </x:c>
      <x:c r="J19" s="1" t="n">
        <x:v>20</x:v>
      </x:c>
      <x:c r="K19" s="19" t="n">
        <x:v>0.01</x:v>
      </x:c>
      <x:c r="L19" s="19" t="n">
        <x:v>0.8</x:v>
      </x:c>
      <x:c r="M19" s="19" t="n">
        <x:v>1.15</x:v>
      </x:c>
      <x:c r="N19" s="19" t="n">
        <x:f>MAX(L19,1-K19*J19)</x:f>
        <x:v>0.8</x:v>
      </x:c>
      <x:c r="O19" s="17" t="n">
        <x:f>MIN(I19,'制度参数'!$B$7)*'制度参数'!$B$9+MIN(MAX(I19-'制度参数'!$B$7,0),'制度参数'!$B$8-'制度参数'!$B$7)*'制度参数'!$B$10+MAX(I19-'制度参数'!$B$8,0)*'制度参数'!$B$11</x:f>
        <x:v>55700</x:v>
      </x:c>
      <x:c r="P19" s="15" t="n">
        <x:f>O19*M19*N19</x:f>
        <x:v>51244</x:v>
      </x:c>
      <x:c r="Q19" s="17" t="n">
        <x:f>E19*'制度参数'!$B$21</x:f>
        <x:v>60000</x:v>
      </x:c>
      <x:c r="R19" s="15" t="n">
        <x:f>IF(D19=1,ROUND(MIN(P19,Q19),2),0)</x:f>
        <x:v>51244</x:v>
      </x:c>
      <x:c r="S19" s="21" t="n">
        <x:v>0.2</x:v>
      </x:c>
    </x:row>
    <x:row r="20" ht="22" customHeight="1">
      <x:c r="A20" s="10" t="str">
        <x:v>V2</x:v>
      </x:c>
      <x:c r="B20" s="10" t="str">
        <x:v>J04</x:v>
      </x:c>
      <x:c r="C20" s="10" t="str">
        <x:v>设备迁移</x:v>
      </x:c>
      <x:c r="D20" s="10" t="n">
        <x:v>1</x:v>
      </x:c>
      <x:c r="E20" s="16" t="n">
        <x:v>500000</x:v>
      </x:c>
      <x:c r="F20" s="16" t="n">
        <x:v>250000</x:v>
      </x:c>
      <x:c r="G20" s="16" t="n">
        <x:f>MAX(MIN(F20,E20),0)</x:f>
        <x:v>250000</x:v>
      </x:c>
      <x:c r="H20" s="16" t="n">
        <x:v>250000</x:v>
      </x:c>
      <x:c r="I20" s="16" t="n">
        <x:f>MAX(G20-H20,0)</x:f>
        <x:v>0</x:v>
      </x:c>
      <x:c r="J20" s="10" t="n">
        <x:v>0</x:v>
      </x:c>
      <x:c r="K20" s="20" t="n">
        <x:v>0.01</x:v>
      </x:c>
      <x:c r="L20" s="20" t="n">
        <x:v>0.8</x:v>
      </x:c>
      <x:c r="M20" s="20" t="n">
        <x:v>0.8</x:v>
      </x:c>
      <x:c r="N20" s="20" t="n">
        <x:f>MAX(L20,1-K20*J20)</x:f>
        <x:v>1</x:v>
      </x:c>
      <x:c r="O20" s="18" t="n">
        <x:f>MIN(I20,'制度参数'!$B$7)*'制度参数'!$B$9+MIN(MAX(I20-'制度参数'!$B$7,0),'制度参数'!$B$8-'制度参数'!$B$7)*'制度参数'!$B$10+MAX(I20-'制度参数'!$B$8,0)*'制度参数'!$B$11</x:f>
        <x:v>0</x:v>
      </x:c>
      <x:c r="P20" s="16" t="n">
        <x:f>O20*M20*N20</x:f>
        <x:v>0</x:v>
      </x:c>
      <x:c r="Q20" s="18" t="n">
        <x:f>E20*'制度参数'!$B$21</x:f>
        <x:v>20000</x:v>
      </x:c>
      <x:c r="R20" s="16" t="n">
        <x:f>IF(D20=1,ROUND(MIN(P20,Q20),2),0)</x:f>
        <x:v>0</x:v>
      </x:c>
      <x:c r="S20" s="22" t="n">
        <x:v>0</x:v>
      </x:c>
    </x:row>
    <x:row r="21" ht="22" customHeight="1">
      <x:c r="A21" s="1" t="str">
        <x:v>V2</x:v>
      </x:c>
      <x:c r="B21" s="1" t="str">
        <x:v>J05</x:v>
      </x:c>
      <x:c r="C21" s="1" t="str">
        <x:v>园区接入</x:v>
      </x:c>
      <x:c r="D21" s="1" t="n">
        <x:v>0</x:v>
      </x:c>
      <x:c r="E21" s="15" t="n">
        <x:v>800000</x:v>
      </x:c>
      <x:c r="F21" s="15" t="n">
        <x:v>450000</x:v>
      </x:c>
      <x:c r="G21" s="15" t="n">
        <x:f>MAX(MIN(F21,E21),0)</x:f>
        <x:v>450000</x:v>
      </x:c>
      <x:c r="H21" s="15" t="n">
        <x:v>200000</x:v>
      </x:c>
      <x:c r="I21" s="15" t="n">
        <x:f>MAX(G21-H21,0)</x:f>
        <x:v>250000</x:v>
      </x:c>
      <x:c r="J21" s="1" t="n">
        <x:v>0</x:v>
      </x:c>
      <x:c r="K21" s="19" t="n">
        <x:v>0.01</x:v>
      </x:c>
      <x:c r="L21" s="19" t="n">
        <x:v>0.8</x:v>
      </x:c>
      <x:c r="M21" s="19" t="n">
        <x:v>1</x:v>
      </x:c>
      <x:c r="N21" s="19" t="n">
        <x:f>MAX(L21,1-K21*J21)</x:f>
        <x:v>1</x:v>
      </x:c>
      <x:c r="O21" s="17" t="n">
        <x:f>MIN(I21,'制度参数'!$B$7)*'制度参数'!$B$9+MIN(MAX(I21-'制度参数'!$B$7,0),'制度参数'!$B$8-'制度参数'!$B$7)*'制度参数'!$B$10+MAX(I21-'制度参数'!$B$8,0)*'制度参数'!$B$11</x:f>
        <x:v>17000</x:v>
      </x:c>
      <x:c r="P21" s="15" t="n">
        <x:f>O21*M21*N21</x:f>
        <x:v>17000</x:v>
      </x:c>
      <x:c r="Q21" s="17" t="n">
        <x:f>E21*'制度参数'!$B$21</x:f>
        <x:v>32000</x:v>
      </x:c>
      <x:c r="R21" s="15" t="n">
        <x:f>IF(D21=1,ROUND(MIN(P21,Q21),2),0)</x:f>
        <x:v>0</x:v>
      </x:c>
      <x:c r="S21" s="21" t="n">
        <x:v>0.2</x:v>
      </x:c>
    </x:row>
    <x:row r="22" ht="22" customHeight="1">
      <x:c r="A22" s="10" t="str">
        <x:v>V2</x:v>
      </x:c>
      <x:c r="B22" s="10" t="str">
        <x:v>J06</x:v>
      </x:c>
      <x:c r="C22" s="10" t="str">
        <x:v>历史改造</x:v>
      </x:c>
      <x:c r="D22" s="10" t="n">
        <x:v>0</x:v>
      </x:c>
      <x:c r="E22" s="16" t="n">
        <x:v>2000000</x:v>
      </x:c>
      <x:c r="F22" s="16" t="n">
        <x:v>1500000</x:v>
      </x:c>
      <x:c r="G22" s="16" t="n">
        <x:f>MAX(MIN(F22,E22),0)</x:f>
        <x:v>1500000</x:v>
      </x:c>
      <x:c r="H22" s="16" t="n">
        <x:v>700000</x:v>
      </x:c>
      <x:c r="I22" s="16" t="n">
        <x:f>MAX(G22-H22,0)</x:f>
        <x:v>800000</x:v>
      </x:c>
      <x:c r="J22" s="10" t="n">
        <x:v>0</x:v>
      </x:c>
      <x:c r="K22" s="20" t="n">
        <x:v>0.01</x:v>
      </x:c>
      <x:c r="L22" s="20" t="n">
        <x:v>0.8</x:v>
      </x:c>
      <x:c r="M22" s="20" t="n">
        <x:v>1.15</x:v>
      </x:c>
      <x:c r="N22" s="20" t="n">
        <x:f>MAX(L22,1-K22*J22)</x:f>
        <x:v>1</x:v>
      </x:c>
      <x:c r="O22" s="18" t="n">
        <x:f>MIN(I22,'制度参数'!$B$7)*'制度参数'!$B$9+MIN(MAX(I22-'制度参数'!$B$7,0),'制度参数'!$B$8-'制度参数'!$B$7)*'制度参数'!$B$10+MAX(I22-'制度参数'!$B$8,0)*'制度参数'!$B$11</x:f>
        <x:v>71000</x:v>
      </x:c>
      <x:c r="P22" s="16" t="n">
        <x:f>O22*M22*N22</x:f>
        <x:v>81650</x:v>
      </x:c>
      <x:c r="Q22" s="18" t="n">
        <x:f>E22*'制度参数'!$B$21</x:f>
        <x:v>80000</x:v>
      </x:c>
      <x:c r="R22" s="16" t="n">
        <x:f>IF(D22=1,ROUND(MIN(P22,Q22),2),0)</x:f>
        <x:v>0</x:v>
      </x:c>
      <x:c r="S22" s="22" t="n">
        <x:v>0.2</x:v>
      </x:c>
    </x:row>
    <x:row r="23" ht="22" customHeight="1">
      <x:c r="A23" s="1" t="str">
        <x:v>V2</x:v>
      </x:c>
      <x:c r="B23" s="1" t="str">
        <x:v>J07</x:v>
      </x:c>
      <x:c r="C23" s="1" t="str">
        <x:v>旧系统迁移</x:v>
      </x:c>
      <x:c r="D23" s="1" t="n">
        <x:v>1</x:v>
      </x:c>
      <x:c r="E23" s="15" t="n">
        <x:v>600000</x:v>
      </x:c>
      <x:c r="F23" s="15" t="n">
        <x:v>300000</x:v>
      </x:c>
      <x:c r="G23" s="15" t="n">
        <x:f>MAX(MIN(F23,E23),0)</x:f>
        <x:v>300000</x:v>
      </x:c>
      <x:c r="H23" s="15" t="n">
        <x:v>320000</x:v>
      </x:c>
      <x:c r="I23" s="15" t="n">
        <x:f>MAX(G23-H23,0)</x:f>
        <x:v>0</x:v>
      </x:c>
      <x:c r="J23" s="1" t="n">
        <x:v>2</x:v>
      </x:c>
      <x:c r="K23" s="19" t="n">
        <x:v>0.01</x:v>
      </x:c>
      <x:c r="L23" s="19" t="n">
        <x:v>0.8</x:v>
      </x:c>
      <x:c r="M23" s="19" t="n">
        <x:v>1</x:v>
      </x:c>
      <x:c r="N23" s="19" t="n">
        <x:f>MAX(L23,1-K23*J23)</x:f>
        <x:v>0.98</x:v>
      </x:c>
      <x:c r="O23" s="17" t="n">
        <x:f>MIN(I23,'制度参数'!$B$7)*'制度参数'!$B$9+MIN(MAX(I23-'制度参数'!$B$7,0),'制度参数'!$B$8-'制度参数'!$B$7)*'制度参数'!$B$10+MAX(I23-'制度参数'!$B$8,0)*'制度参数'!$B$11</x:f>
        <x:v>0</x:v>
      </x:c>
      <x:c r="P23" s="15" t="n">
        <x:f>O23*M23*N23</x:f>
        <x:v>0</x:v>
      </x:c>
      <x:c r="Q23" s="17" t="n">
        <x:f>E23*'制度参数'!$B$21</x:f>
        <x:v>24000</x:v>
      </x:c>
      <x:c r="R23" s="15" t="n">
        <x:f>IF(D23=1,ROUND(MIN(P23,Q23),2),0)</x:f>
        <x:v>0</x:v>
      </x:c>
      <x:c r="S23" s="21" t="n">
        <x:v>0.2</x:v>
      </x:c>
    </x:row>
    <x:row r="24" ht="22" customHeight="1">
      <x:c r="A24" s="10" t="str">
        <x:v>V2</x:v>
      </x:c>
      <x:c r="B24" s="10" t="str">
        <x:v>J08</x:v>
      </x:c>
      <x:c r="C24" s="10" t="str">
        <x:v>客服平台</x:v>
      </x:c>
      <x:c r="D24" s="10" t="n">
        <x:v>1</x:v>
      </x:c>
      <x:c r="E24" s="16" t="n">
        <x:v>1000000</x:v>
      </x:c>
      <x:c r="F24" s="16" t="n">
        <x:v>700000</x:v>
      </x:c>
      <x:c r="G24" s="16" t="n">
        <x:f>MAX(MIN(F24,E24),0)</x:f>
        <x:v>700000</x:v>
      </x:c>
      <x:c r="H24" s="16" t="n">
        <x:v>520000</x:v>
      </x:c>
      <x:c r="I24" s="16" t="n">
        <x:f>MAX(G24-H24,0)</x:f>
        <x:v>180000</x:v>
      </x:c>
      <x:c r="J24" s="10" t="n">
        <x:v>50</x:v>
      </x:c>
      <x:c r="K24" s="20" t="n">
        <x:v>0.01</x:v>
      </x:c>
      <x:c r="L24" s="20" t="n">
        <x:v>0.8</x:v>
      </x:c>
      <x:c r="M24" s="20" t="n">
        <x:v>0.8</x:v>
      </x:c>
      <x:c r="N24" s="20" t="n">
        <x:f>MAX(L24,1-K24*J24)</x:f>
        <x:v>0.8</x:v>
      </x:c>
      <x:c r="O24" s="18" t="n">
        <x:f>MIN(I24,'制度参数'!$B$7)*'制度参数'!$B$9+MIN(MAX(I24-'制度参数'!$B$7,0),'制度参数'!$B$8-'制度参数'!$B$7)*'制度参数'!$B$10+MAX(I24-'制度参数'!$B$8,0)*'制度参数'!$B$11</x:f>
        <x:v>11400</x:v>
      </x:c>
      <x:c r="P24" s="16" t="n">
        <x:f>O24*M24*N24</x:f>
        <x:v>7296</x:v>
      </x:c>
      <x:c r="Q24" s="18" t="n">
        <x:f>E24*'制度参数'!$B$21</x:f>
        <x:v>40000</x:v>
      </x:c>
      <x:c r="R24" s="16" t="n">
        <x:f>IF(D24=1,ROUND(MIN(P24,Q24),2),0)</x:f>
        <x:v>7296</x:v>
      </x:c>
      <x:c r="S24" s="22" t="n">
        <x:v>0</x:v>
      </x:c>
    </x:row>
    <x:row r="25" ht="22" customHeight="1">
      <x:c r="A25" s="1" t="str">
        <x:v>V2</x:v>
      </x:c>
      <x:c r="B25" s="1" t="str">
        <x:v>J09</x:v>
      </x:c>
      <x:c r="C25" s="1" t="str">
        <x:v>数据治理</x:v>
      </x:c>
      <x:c r="D25" s="1" t="n">
        <x:v>1</x:v>
      </x:c>
      <x:c r="E25" s="15" t="n">
        <x:v>750000</x:v>
      </x:c>
      <x:c r="F25" s="15" t="n">
        <x:v>580000</x:v>
      </x:c>
      <x:c r="G25" s="15" t="n">
        <x:f>MAX(MIN(F25,E25),0)</x:f>
        <x:v>580000</x:v>
      </x:c>
      <x:c r="H25" s="15" t="n">
        <x:v>280000</x:v>
      </x:c>
      <x:c r="I25" s="15" t="n">
        <x:f>MAX(G25-H25,0)</x:f>
        <x:v>300000</x:v>
      </x:c>
      <x:c r="J25" s="1" t="n">
        <x:v>80</x:v>
      </x:c>
      <x:c r="K25" s="19" t="n">
        <x:v>0.01</x:v>
      </x:c>
      <x:c r="L25" s="19" t="n">
        <x:v>0.8</x:v>
      </x:c>
      <x:c r="M25" s="19" t="n">
        <x:v>1</x:v>
      </x:c>
      <x:c r="N25" s="19" t="n">
        <x:f>MAX(L25,1-K25*J25)</x:f>
        <x:v>0.8</x:v>
      </x:c>
      <x:c r="O25" s="17" t="n">
        <x:f>MIN(I25,'制度参数'!$B$7)*'制度参数'!$B$9+MIN(MAX(I25-'制度参数'!$B$7,0),'制度参数'!$B$8-'制度参数'!$B$7)*'制度参数'!$B$10+MAX(I25-'制度参数'!$B$8,0)*'制度参数'!$B$11</x:f>
        <x:v>21000</x:v>
      </x:c>
      <x:c r="P25" s="15" t="n">
        <x:f>O25*M25*N25</x:f>
        <x:v>16800</x:v>
      </x:c>
      <x:c r="Q25" s="17" t="n">
        <x:f>E25*'制度参数'!$B$21</x:f>
        <x:v>30000</x:v>
      </x:c>
      <x:c r="R25" s="15" t="n">
        <x:f>IF(D25=1,ROUND(MIN(P25,Q25),2),0)</x:f>
        <x:v>16800</x:v>
      </x:c>
      <x:c r="S25" s="21" t="n">
        <x:v>0.2</x:v>
      </x:c>
    </x:row>
    <x:row r="26" ht="22" customHeight="1">
      <x:c r="A26" s="10" t="str">
        <x:v>V2</x:v>
      </x:c>
      <x:c r="B26" s="10" t="str">
        <x:v>J10</x:v>
      </x:c>
      <x:c r="C26" s="10" t="str">
        <x:v>轻量部署</x:v>
      </x:c>
      <x:c r="D26" s="10" t="n">
        <x:v>1</x:v>
      </x:c>
      <x:c r="E26" s="16" t="n">
        <x:v>200000</x:v>
      </x:c>
      <x:c r="F26" s="16" t="n">
        <x:v>200000</x:v>
      </x:c>
      <x:c r="G26" s="16" t="n">
        <x:f>MAX(MIN(F26,E26),0)</x:f>
        <x:v>200000</x:v>
      </x:c>
      <x:c r="H26" s="16" t="n">
        <x:v>0</x:v>
      </x:c>
      <x:c r="I26" s="16" t="n">
        <x:f>MAX(G26-H26,0)</x:f>
        <x:v>200000</x:v>
      </x:c>
      <x:c r="J26" s="10" t="n">
        <x:v>0</x:v>
      </x:c>
      <x:c r="K26" s="20" t="n">
        <x:v>0.01</x:v>
      </x:c>
      <x:c r="L26" s="20" t="n">
        <x:v>0.8</x:v>
      </x:c>
      <x:c r="M26" s="20" t="n">
        <x:v>1.15</x:v>
      </x:c>
      <x:c r="N26" s="20" t="n">
        <x:f>MAX(L26,1-K26*J26)</x:f>
        <x:v>1</x:v>
      </x:c>
      <x:c r="O26" s="18" t="n">
        <x:f>MIN(I26,'制度参数'!$B$7)*'制度参数'!$B$9+MIN(MAX(I26-'制度参数'!$B$7,0),'制度参数'!$B$8-'制度参数'!$B$7)*'制度参数'!$B$10+MAX(I26-'制度参数'!$B$8,0)*'制度参数'!$B$11</x:f>
        <x:v>13000</x:v>
      </x:c>
      <x:c r="P26" s="16" t="n">
        <x:f>O26*M26*N26</x:f>
        <x:v>14949.999999999998</x:v>
      </x:c>
      <x:c r="Q26" s="18" t="n">
        <x:f>E26*'制度参数'!$B$21</x:f>
        <x:v>8000</x:v>
      </x:c>
      <x:c r="R26" s="16" t="n">
        <x:f>IF(D26=1,ROUND(MIN(P26,Q26),2),0)</x:f>
        <x:v>8000</x:v>
      </x:c>
      <x:c r="S26" s="22" t="n">
        <x:v>0</x:v>
      </x:c>
    </x:row>
    <x:row r="27" ht="22" customHeight="1">
      <x:c r="A27" s="1" t="str">
        <x:v>V2</x:v>
      </x:c>
      <x:c r="B27" s="1" t="str">
        <x:v>J11</x:v>
      </x:c>
      <x:c r="C27" s="1" t="str">
        <x:v>跨年验收</x:v>
      </x:c>
      <x:c r="D27" s="1" t="n">
        <x:v>0</x:v>
      </x:c>
      <x:c r="E27" s="15" t="n">
        <x:v>400000</x:v>
      </x:c>
      <x:c r="F27" s="15" t="n">
        <x:v>200000</x:v>
      </x:c>
      <x:c r="G27" s="15" t="n">
        <x:f>MAX(MIN(F27,E27),0)</x:f>
        <x:v>200000</x:v>
      </x:c>
      <x:c r="H27" s="15" t="n">
        <x:v>200000</x:v>
      </x:c>
      <x:c r="I27" s="15" t="n">
        <x:f>MAX(G27-H27,0)</x:f>
        <x:v>0</x:v>
      </x:c>
      <x:c r="J27" s="1" t="n">
        <x:v>0</x:v>
      </x:c>
      <x:c r="K27" s="19" t="n">
        <x:v>0.01</x:v>
      </x:c>
      <x:c r="L27" s="19" t="n">
        <x:v>0.8</x:v>
      </x:c>
      <x:c r="M27" s="19" t="n">
        <x:v>1</x:v>
      </x:c>
      <x:c r="N27" s="19" t="n">
        <x:f>MAX(L27,1-K27*J27)</x:f>
        <x:v>1</x:v>
      </x:c>
      <x:c r="O27" s="17" t="n">
        <x:f>MIN(I27,'制度参数'!$B$7)*'制度参数'!$B$9+MIN(MAX(I27-'制度参数'!$B$7,0),'制度参数'!$B$8-'制度参数'!$B$7)*'制度参数'!$B$10+MAX(I27-'制度参数'!$B$8,0)*'制度参数'!$B$11</x:f>
        <x:v>0</x:v>
      </x:c>
      <x:c r="P27" s="15" t="n">
        <x:f>O27*M27*N27</x:f>
        <x:v>0</x:v>
      </x:c>
      <x:c r="Q27" s="17" t="n">
        <x:f>E27*'制度参数'!$B$21</x:f>
        <x:v>16000</x:v>
      </x:c>
      <x:c r="R27" s="15" t="n">
        <x:f>IF(D27=1,ROUND(MIN(P27,Q27),2),0)</x:f>
        <x:v>0</x:v>
      </x:c>
      <x:c r="S27" s="21" t="n">
        <x:v>0.2</x:v>
      </x:c>
    </x:row>
    <x:row r="28" ht="22" customHeight="1">
      <x:c r="A28" s="10" t="str">
        <x:v>V2</x:v>
      </x:c>
      <x:c r="B28" s="10" t="str">
        <x:v>J12</x:v>
      </x:c>
      <x:c r="C28" s="10" t="str">
        <x:v>远程运维</x:v>
      </x:c>
      <x:c r="D28" s="10" t="n">
        <x:v>1</x:v>
      </x:c>
      <x:c r="E28" s="16" t="n">
        <x:v>650000</x:v>
      </x:c>
      <x:c r="F28" s="16" t="n">
        <x:v>395000</x:v>
      </x:c>
      <x:c r="G28" s="16" t="n">
        <x:f>MAX(MIN(F28,E28),0)</x:f>
        <x:v>395000</x:v>
      </x:c>
      <x:c r="H28" s="16" t="n">
        <x:v>305000</x:v>
      </x:c>
      <x:c r="I28" s="16" t="n">
        <x:f>MAX(G28-H28,0)</x:f>
        <x:v>90000</x:v>
      </x:c>
      <x:c r="J28" s="10" t="n">
        <x:v>3</x:v>
      </x:c>
      <x:c r="K28" s="20" t="n">
        <x:v>0.01</x:v>
      </x:c>
      <x:c r="L28" s="20" t="n">
        <x:v>0.8</x:v>
      </x:c>
      <x:c r="M28" s="20" t="n">
        <x:v>1</x:v>
      </x:c>
      <x:c r="N28" s="20" t="n">
        <x:f>MAX(L28,1-K28*J28)</x:f>
        <x:v>0.97</x:v>
      </x:c>
      <x:c r="O28" s="18" t="n">
        <x:f>MIN(I28,'制度参数'!$B$7)*'制度参数'!$B$9+MIN(MAX(I28-'制度参数'!$B$7,0),'制度参数'!$B$8-'制度参数'!$B$7)*'制度参数'!$B$10+MAX(I28-'制度参数'!$B$8,0)*'制度参数'!$B$11</x:f>
        <x:v>4500</x:v>
      </x:c>
      <x:c r="P28" s="16" t="n">
        <x:f>O28*M28*N28</x:f>
        <x:v>4365</x:v>
      </x:c>
      <x:c r="Q28" s="18" t="n">
        <x:f>E28*'制度参数'!$B$21</x:f>
        <x:v>26000</x:v>
      </x:c>
      <x:c r="R28" s="16" t="n">
        <x:f>IF(D28=1,ROUND(MIN(P28,Q28),2),0)</x:f>
        <x:v>4365</x:v>
      </x:c>
      <x:c r="S28" s="22" t="n">
        <x:v>0.2</x:v>
      </x:c>
    </x:row>
    <x:row r="29" ht="22" customHeight="1">
      <x:c r="A29" s="1" t="str">
        <x:v>V3</x:v>
      </x:c>
      <x:c r="B29" s="1" t="str">
        <x:v>J01</x:v>
      </x:c>
      <x:c r="C29" s="1" t="str">
        <x:v>仓储升级</x:v>
      </x:c>
      <x:c r="D29" s="1" t="n">
        <x:v>1</x:v>
      </x:c>
      <x:c r="E29" s="15" t="n">
        <x:v>1200000</x:v>
      </x:c>
      <x:c r="F29" s="15" t="n">
        <x:v>920000</x:v>
      </x:c>
      <x:c r="G29" s="15" t="n">
        <x:f>MAX(MIN(F29,E29),0)</x:f>
        <x:v>920000</x:v>
      </x:c>
      <x:c r="H29" s="15" t="n">
        <x:v>717000</x:v>
      </x:c>
      <x:c r="I29" s="15" t="n">
        <x:f>MAX(G29-H29,0)</x:f>
        <x:v>203000</x:v>
      </x:c>
      <x:c r="J29" s="1" t="n">
        <x:v>0</x:v>
      </x:c>
      <x:c r="K29" s="19" t="n">
        <x:v>0.01</x:v>
      </x:c>
      <x:c r="L29" s="19" t="n">
        <x:v>0.8</x:v>
      </x:c>
      <x:c r="M29" s="19" t="n">
        <x:v>1.15</x:v>
      </x:c>
      <x:c r="N29" s="19" t="n">
        <x:f>MAX(L29,1-K29*J29)</x:f>
        <x:v>1</x:v>
      </x:c>
      <x:c r="O29" s="17" t="n">
        <x:f>MIN(I29,'制度参数'!$B$7)*'制度参数'!$B$9+MIN(MAX(I29-'制度参数'!$B$7,0),'制度参数'!$B$8-'制度参数'!$B$7)*'制度参数'!$B$10+MAX(I29-'制度参数'!$B$8,0)*'制度参数'!$B$11</x:f>
        <x:v>13240</x:v>
      </x:c>
      <x:c r="P29" s="15" t="n">
        <x:f>O29*M29*N29</x:f>
        <x:v>15225.999999999998</x:v>
      </x:c>
      <x:c r="Q29" s="17" t="n">
        <x:f>E29*'制度参数'!$B$21</x:f>
        <x:v>48000</x:v>
      </x:c>
      <x:c r="R29" s="15" t="n">
        <x:f>IF(D29=1,ROUND(MIN(P29,Q29),2),0)</x:f>
        <x:v>15226</x:v>
      </x:c>
      <x:c r="S29" s="21" t="n">
        <x:v>0.2</x:v>
      </x:c>
    </x:row>
    <x:row r="30" ht="22" customHeight="1">
      <x:c r="A30" s="10" t="str">
        <x:v>V3</x:v>
      </x:c>
      <x:c r="B30" s="10" t="str">
        <x:v>J02</x:v>
      </x:c>
      <x:c r="C30" s="10" t="str">
        <x:v>门店联网</x:v>
      </x:c>
      <x:c r="D30" s="10" t="n">
        <x:v>1</x:v>
      </x:c>
      <x:c r="E30" s="16" t="n">
        <x:v>900000</x:v>
      </x:c>
      <x:c r="F30" s="16" t="n">
        <x:v>720000</x:v>
      </x:c>
      <x:c r="G30" s="16" t="n">
        <x:f>MAX(MIN(F30,E30),0)</x:f>
        <x:v>720000</x:v>
      </x:c>
      <x:c r="H30" s="16" t="n">
        <x:v>450000</x:v>
      </x:c>
      <x:c r="I30" s="16" t="n">
        <x:f>MAX(G30-H30,0)</x:f>
        <x:v>270000</x:v>
      </x:c>
      <x:c r="J30" s="10" t="n">
        <x:v>5</x:v>
      </x:c>
      <x:c r="K30" s="20" t="n">
        <x:v>0.01</x:v>
      </x:c>
      <x:c r="L30" s="20" t="n">
        <x:v>0.8</x:v>
      </x:c>
      <x:c r="M30" s="20" t="n">
        <x:v>1</x:v>
      </x:c>
      <x:c r="N30" s="20" t="n">
        <x:f>MAX(L30,1-K30*J30)</x:f>
        <x:v>0.95</x:v>
      </x:c>
      <x:c r="O30" s="18" t="n">
        <x:f>MIN(I30,'制度参数'!$B$7)*'制度参数'!$B$9+MIN(MAX(I30-'制度参数'!$B$7,0),'制度参数'!$B$8-'制度参数'!$B$7)*'制度参数'!$B$10+MAX(I30-'制度参数'!$B$8,0)*'制度参数'!$B$11</x:f>
        <x:v>18600</x:v>
      </x:c>
      <x:c r="P30" s="16" t="n">
        <x:f>O30*M30*N30</x:f>
        <x:v>17670</x:v>
      </x:c>
      <x:c r="Q30" s="18" t="n">
        <x:f>E30*'制度参数'!$B$21</x:f>
        <x:v>36000</x:v>
      </x:c>
      <x:c r="R30" s="16" t="n">
        <x:f>IF(D30=1,ROUND(MIN(P30,Q30),2),0)</x:f>
        <x:v>17670</x:v>
      </x:c>
      <x:c r="S30" s="22" t="n">
        <x:v>0</x:v>
      </x:c>
    </x:row>
    <x:row r="31" ht="22" customHeight="1">
      <x:c r="A31" s="1" t="str">
        <x:v>V3</x:v>
      </x:c>
      <x:c r="B31" s="1" t="str">
        <x:v>J03</x:v>
      </x:c>
      <x:c r="C31" s="1" t="str">
        <x:v>生产看板</x:v>
      </x:c>
      <x:c r="D31" s="1" t="n">
        <x:v>1</x:v>
      </x:c>
      <x:c r="E31" s="15" t="n">
        <x:v>1500000</x:v>
      </x:c>
      <x:c r="F31" s="15" t="n">
        <x:v>1260000</x:v>
      </x:c>
      <x:c r="G31" s="15" t="n">
        <x:f>MAX(MIN(F31,E31),0)</x:f>
        <x:v>1260000</x:v>
      </x:c>
      <x:c r="H31" s="15" t="n">
        <x:v>613000</x:v>
      </x:c>
      <x:c r="I31" s="15" t="n">
        <x:f>MAX(G31-H31,0)</x:f>
        <x:v>647000</x:v>
      </x:c>
      <x:c r="J31" s="1" t="n">
        <x:v>20</x:v>
      </x:c>
      <x:c r="K31" s="19" t="n">
        <x:v>0.01</x:v>
      </x:c>
      <x:c r="L31" s="19" t="n">
        <x:v>0.8</x:v>
      </x:c>
      <x:c r="M31" s="19" t="n">
        <x:v>1.15</x:v>
      </x:c>
      <x:c r="N31" s="19" t="n">
        <x:f>MAX(L31,1-K31*J31)</x:f>
        <x:v>0.8</x:v>
      </x:c>
      <x:c r="O31" s="17" t="n">
        <x:f>MIN(I31,'制度参数'!$B$7)*'制度参数'!$B$9+MIN(MAX(I31-'制度参数'!$B$7,0),'制度参数'!$B$8-'制度参数'!$B$7)*'制度参数'!$B$10+MAX(I31-'制度参数'!$B$8,0)*'制度参数'!$B$11</x:f>
        <x:v>55700</x:v>
      </x:c>
      <x:c r="P31" s="15" t="n">
        <x:f>O31*M31*N31</x:f>
        <x:v>51244</x:v>
      </x:c>
      <x:c r="Q31" s="17" t="n">
        <x:f>E31*'制度参数'!$B$21</x:f>
        <x:v>60000</x:v>
      </x:c>
      <x:c r="R31" s="15" t="n">
        <x:f>IF(D31=1,ROUND(MIN(P31,Q31),2),0)</x:f>
        <x:v>51244</x:v>
      </x:c>
      <x:c r="S31" s="21" t="n">
        <x:v>0.2</x:v>
      </x:c>
    </x:row>
    <x:row r="32" ht="22" customHeight="1">
      <x:c r="A32" s="10" t="str">
        <x:v>V3</x:v>
      </x:c>
      <x:c r="B32" s="10" t="str">
        <x:v>J04</x:v>
      </x:c>
      <x:c r="C32" s="10" t="str">
        <x:v>设备迁移</x:v>
      </x:c>
      <x:c r="D32" s="10" t="n">
        <x:v>1</x:v>
      </x:c>
      <x:c r="E32" s="16" t="n">
        <x:v>500000</x:v>
      </x:c>
      <x:c r="F32" s="16" t="n">
        <x:v>250000</x:v>
      </x:c>
      <x:c r="G32" s="16" t="n">
        <x:f>MAX(MIN(F32,E32),0)</x:f>
        <x:v>250000</x:v>
      </x:c>
      <x:c r="H32" s="16" t="n">
        <x:v>250000</x:v>
      </x:c>
      <x:c r="I32" s="16" t="n">
        <x:f>MAX(G32-H32,0)</x:f>
        <x:v>0</x:v>
      </x:c>
      <x:c r="J32" s="10" t="n">
        <x:v>0</x:v>
      </x:c>
      <x:c r="K32" s="20" t="n">
        <x:v>0.01</x:v>
      </x:c>
      <x:c r="L32" s="20" t="n">
        <x:v>0.8</x:v>
      </x:c>
      <x:c r="M32" s="20" t="n">
        <x:v>0.8</x:v>
      </x:c>
      <x:c r="N32" s="20" t="n">
        <x:f>MAX(L32,1-K32*J32)</x:f>
        <x:v>1</x:v>
      </x:c>
      <x:c r="O32" s="18" t="n">
        <x:f>MIN(I32,'制度参数'!$B$7)*'制度参数'!$B$9+MIN(MAX(I32-'制度参数'!$B$7,0),'制度参数'!$B$8-'制度参数'!$B$7)*'制度参数'!$B$10+MAX(I32-'制度参数'!$B$8,0)*'制度参数'!$B$11</x:f>
        <x:v>0</x:v>
      </x:c>
      <x:c r="P32" s="16" t="n">
        <x:f>O32*M32*N32</x:f>
        <x:v>0</x:v>
      </x:c>
      <x:c r="Q32" s="18" t="n">
        <x:f>E32*'制度参数'!$B$21</x:f>
        <x:v>20000</x:v>
      </x:c>
      <x:c r="R32" s="16" t="n">
        <x:f>IF(D32=1,ROUND(MIN(P32,Q32),2),0)</x:f>
        <x:v>0</x:v>
      </x:c>
      <x:c r="S32" s="22" t="n">
        <x:v>0</x:v>
      </x:c>
    </x:row>
    <x:row r="33" ht="22" customHeight="1">
      <x:c r="A33" s="1" t="str">
        <x:v>V3</x:v>
      </x:c>
      <x:c r="B33" s="1" t="str">
        <x:v>J05</x:v>
      </x:c>
      <x:c r="C33" s="1" t="str">
        <x:v>园区接入</x:v>
      </x:c>
      <x:c r="D33" s="1" t="n">
        <x:v>0</x:v>
      </x:c>
      <x:c r="E33" s="15" t="n">
        <x:v>800000</x:v>
      </x:c>
      <x:c r="F33" s="15" t="n">
        <x:v>450000</x:v>
      </x:c>
      <x:c r="G33" s="15" t="n">
        <x:f>MAX(MIN(F33,E33),0)</x:f>
        <x:v>450000</x:v>
      </x:c>
      <x:c r="H33" s="15" t="n">
        <x:v>200000</x:v>
      </x:c>
      <x:c r="I33" s="15" t="n">
        <x:f>MAX(G33-H33,0)</x:f>
        <x:v>250000</x:v>
      </x:c>
      <x:c r="J33" s="1" t="n">
        <x:v>0</x:v>
      </x:c>
      <x:c r="K33" s="19" t="n">
        <x:v>0.01</x:v>
      </x:c>
      <x:c r="L33" s="19" t="n">
        <x:v>0.8</x:v>
      </x:c>
      <x:c r="M33" s="19" t="n">
        <x:v>1</x:v>
      </x:c>
      <x:c r="N33" s="19" t="n">
        <x:f>MAX(L33,1-K33*J33)</x:f>
        <x:v>1</x:v>
      </x:c>
      <x:c r="O33" s="17" t="n">
        <x:f>MIN(I33,'制度参数'!$B$7)*'制度参数'!$B$9+MIN(MAX(I33-'制度参数'!$B$7,0),'制度参数'!$B$8-'制度参数'!$B$7)*'制度参数'!$B$10+MAX(I33-'制度参数'!$B$8,0)*'制度参数'!$B$11</x:f>
        <x:v>17000</x:v>
      </x:c>
      <x:c r="P33" s="15" t="n">
        <x:f>O33*M33*N33</x:f>
        <x:v>17000</x:v>
      </x:c>
      <x:c r="Q33" s="17" t="n">
        <x:f>E33*'制度参数'!$B$21</x:f>
        <x:v>32000</x:v>
      </x:c>
      <x:c r="R33" s="15" t="n">
        <x:f>IF(D33=1,ROUND(MIN(P33,Q33),2),0)</x:f>
        <x:v>0</x:v>
      </x:c>
      <x:c r="S33" s="21" t="n">
        <x:v>0.2</x:v>
      </x:c>
    </x:row>
    <x:row r="34" ht="22" customHeight="1">
      <x:c r="A34" s="10" t="str">
        <x:v>V3</x:v>
      </x:c>
      <x:c r="B34" s="10" t="str">
        <x:v>J06</x:v>
      </x:c>
      <x:c r="C34" s="10" t="str">
        <x:v>历史改造</x:v>
      </x:c>
      <x:c r="D34" s="10" t="n">
        <x:v>0</x:v>
      </x:c>
      <x:c r="E34" s="16" t="n">
        <x:v>2000000</x:v>
      </x:c>
      <x:c r="F34" s="16" t="n">
        <x:v>1500000</x:v>
      </x:c>
      <x:c r="G34" s="16" t="n">
        <x:f>MAX(MIN(F34,E34),0)</x:f>
        <x:v>1500000</x:v>
      </x:c>
      <x:c r="H34" s="16" t="n">
        <x:v>700000</x:v>
      </x:c>
      <x:c r="I34" s="16" t="n">
        <x:f>MAX(G34-H34,0)</x:f>
        <x:v>800000</x:v>
      </x:c>
      <x:c r="J34" s="10" t="n">
        <x:v>0</x:v>
      </x:c>
      <x:c r="K34" s="20" t="n">
        <x:v>0.01</x:v>
      </x:c>
      <x:c r="L34" s="20" t="n">
        <x:v>0.8</x:v>
      </x:c>
      <x:c r="M34" s="20" t="n">
        <x:v>1.15</x:v>
      </x:c>
      <x:c r="N34" s="20" t="n">
        <x:f>MAX(L34,1-K34*J34)</x:f>
        <x:v>1</x:v>
      </x:c>
      <x:c r="O34" s="18" t="n">
        <x:f>MIN(I34,'制度参数'!$B$7)*'制度参数'!$B$9+MIN(MAX(I34-'制度参数'!$B$7,0),'制度参数'!$B$8-'制度参数'!$B$7)*'制度参数'!$B$10+MAX(I34-'制度参数'!$B$8,0)*'制度参数'!$B$11</x:f>
        <x:v>71000</x:v>
      </x:c>
      <x:c r="P34" s="16" t="n">
        <x:f>O34*M34*N34</x:f>
        <x:v>81650</x:v>
      </x:c>
      <x:c r="Q34" s="18" t="n">
        <x:f>E34*'制度参数'!$B$21</x:f>
        <x:v>80000</x:v>
      </x:c>
      <x:c r="R34" s="16" t="n">
        <x:f>IF(D34=1,ROUND(MIN(P34,Q34),2),0)</x:f>
        <x:v>0</x:v>
      </x:c>
      <x:c r="S34" s="22" t="n">
        <x:v>0.2</x:v>
      </x:c>
    </x:row>
    <x:row r="35" ht="22" customHeight="1">
      <x:c r="A35" s="1" t="str">
        <x:v>V3</x:v>
      </x:c>
      <x:c r="B35" s="1" t="str">
        <x:v>J07</x:v>
      </x:c>
      <x:c r="C35" s="1" t="str">
        <x:v>旧系统迁移</x:v>
      </x:c>
      <x:c r="D35" s="1" t="n">
        <x:v>1</x:v>
      </x:c>
      <x:c r="E35" s="15" t="n">
        <x:v>600000</x:v>
      </x:c>
      <x:c r="F35" s="15" t="n">
        <x:v>300000</x:v>
      </x:c>
      <x:c r="G35" s="15" t="n">
        <x:f>MAX(MIN(F35,E35),0)</x:f>
        <x:v>300000</x:v>
      </x:c>
      <x:c r="H35" s="15" t="n">
        <x:v>320000</x:v>
      </x:c>
      <x:c r="I35" s="15" t="n">
        <x:f>MAX(G35-H35,0)</x:f>
        <x:v>0</x:v>
      </x:c>
      <x:c r="J35" s="1" t="n">
        <x:v>2</x:v>
      </x:c>
      <x:c r="K35" s="19" t="n">
        <x:v>0.01</x:v>
      </x:c>
      <x:c r="L35" s="19" t="n">
        <x:v>0.8</x:v>
      </x:c>
      <x:c r="M35" s="19" t="n">
        <x:v>1</x:v>
      </x:c>
      <x:c r="N35" s="19" t="n">
        <x:f>MAX(L35,1-K35*J35)</x:f>
        <x:v>0.98</x:v>
      </x:c>
      <x:c r="O35" s="17" t="n">
        <x:f>MIN(I35,'制度参数'!$B$7)*'制度参数'!$B$9+MIN(MAX(I35-'制度参数'!$B$7,0),'制度参数'!$B$8-'制度参数'!$B$7)*'制度参数'!$B$10+MAX(I35-'制度参数'!$B$8,0)*'制度参数'!$B$11</x:f>
        <x:v>0</x:v>
      </x:c>
      <x:c r="P35" s="15" t="n">
        <x:f>O35*M35*N35</x:f>
        <x:v>0</x:v>
      </x:c>
      <x:c r="Q35" s="17" t="n">
        <x:f>E35*'制度参数'!$B$21</x:f>
        <x:v>24000</x:v>
      </x:c>
      <x:c r="R35" s="15" t="n">
        <x:f>IF(D35=1,ROUND(MIN(P35,Q35),2),0)</x:f>
        <x:v>0</x:v>
      </x:c>
      <x:c r="S35" s="21" t="n">
        <x:v>0.2</x:v>
      </x:c>
    </x:row>
    <x:row r="36" ht="22" customHeight="1">
      <x:c r="A36" s="10" t="str">
        <x:v>V3</x:v>
      </x:c>
      <x:c r="B36" s="10" t="str">
        <x:v>J08</x:v>
      </x:c>
      <x:c r="C36" s="10" t="str">
        <x:v>客服平台</x:v>
      </x:c>
      <x:c r="D36" s="10" t="n">
        <x:v>1</x:v>
      </x:c>
      <x:c r="E36" s="16" t="n">
        <x:v>1000000</x:v>
      </x:c>
      <x:c r="F36" s="16" t="n">
        <x:v>700000</x:v>
      </x:c>
      <x:c r="G36" s="16" t="n">
        <x:f>MAX(MIN(F36,E36),0)</x:f>
        <x:v>700000</x:v>
      </x:c>
      <x:c r="H36" s="16" t="n">
        <x:v>520000</x:v>
      </x:c>
      <x:c r="I36" s="16" t="n">
        <x:f>MAX(G36-H36,0)</x:f>
        <x:v>180000</x:v>
      </x:c>
      <x:c r="J36" s="10" t="n">
        <x:v>50</x:v>
      </x:c>
      <x:c r="K36" s="20" t="n">
        <x:v>0.01</x:v>
      </x:c>
      <x:c r="L36" s="20" t="n">
        <x:v>0.8</x:v>
      </x:c>
      <x:c r="M36" s="20" t="n">
        <x:v>0.8</x:v>
      </x:c>
      <x:c r="N36" s="20" t="n">
        <x:f>MAX(L36,1-K36*J36)</x:f>
        <x:v>0.8</x:v>
      </x:c>
      <x:c r="O36" s="18" t="n">
        <x:f>MIN(I36,'制度参数'!$B$7)*'制度参数'!$B$9+MIN(MAX(I36-'制度参数'!$B$7,0),'制度参数'!$B$8-'制度参数'!$B$7)*'制度参数'!$B$10+MAX(I36-'制度参数'!$B$8,0)*'制度参数'!$B$11</x:f>
        <x:v>11400</x:v>
      </x:c>
      <x:c r="P36" s="16" t="n">
        <x:f>O36*M36*N36</x:f>
        <x:v>7296</x:v>
      </x:c>
      <x:c r="Q36" s="18" t="n">
        <x:f>E36*'制度参数'!$B$21</x:f>
        <x:v>40000</x:v>
      </x:c>
      <x:c r="R36" s="16" t="n">
        <x:f>IF(D36=1,ROUND(MIN(P36,Q36),2),0)</x:f>
        <x:v>7296</x:v>
      </x:c>
      <x:c r="S36" s="22" t="n">
        <x:v>0</x:v>
      </x:c>
    </x:row>
    <x:row r="37" ht="22" customHeight="1">
      <x:c r="A37" s="1" t="str">
        <x:v>V3</x:v>
      </x:c>
      <x:c r="B37" s="1" t="str">
        <x:v>J09</x:v>
      </x:c>
      <x:c r="C37" s="1" t="str">
        <x:v>数据治理</x:v>
      </x:c>
      <x:c r="D37" s="1" t="n">
        <x:v>1</x:v>
      </x:c>
      <x:c r="E37" s="15" t="n">
        <x:v>750000</x:v>
      </x:c>
      <x:c r="F37" s="15" t="n">
        <x:v>580000</x:v>
      </x:c>
      <x:c r="G37" s="15" t="n">
        <x:f>MAX(MIN(F37,E37),0)</x:f>
        <x:v>580000</x:v>
      </x:c>
      <x:c r="H37" s="15" t="n">
        <x:v>280000</x:v>
      </x:c>
      <x:c r="I37" s="15" t="n">
        <x:f>MAX(G37-H37,0)</x:f>
        <x:v>300000</x:v>
      </x:c>
      <x:c r="J37" s="1" t="n">
        <x:v>80</x:v>
      </x:c>
      <x:c r="K37" s="19" t="n">
        <x:v>0.01</x:v>
      </x:c>
      <x:c r="L37" s="19" t="n">
        <x:v>0.8</x:v>
      </x:c>
      <x:c r="M37" s="19" t="n">
        <x:v>1</x:v>
      </x:c>
      <x:c r="N37" s="19" t="n">
        <x:f>MAX(L37,1-K37*J37)</x:f>
        <x:v>0.8</x:v>
      </x:c>
      <x:c r="O37" s="17" t="n">
        <x:f>MIN(I37,'制度参数'!$B$7)*'制度参数'!$B$9+MIN(MAX(I37-'制度参数'!$B$7,0),'制度参数'!$B$8-'制度参数'!$B$7)*'制度参数'!$B$10+MAX(I37-'制度参数'!$B$8,0)*'制度参数'!$B$11</x:f>
        <x:v>21000</x:v>
      </x:c>
      <x:c r="P37" s="15" t="n">
        <x:f>O37*M37*N37</x:f>
        <x:v>16800</x:v>
      </x:c>
      <x:c r="Q37" s="17" t="n">
        <x:f>E37*'制度参数'!$B$21</x:f>
        <x:v>30000</x:v>
      </x:c>
      <x:c r="R37" s="15" t="n">
        <x:f>IF(D37=1,ROUND(MIN(P37,Q37),2),0)</x:f>
        <x:v>16800</x:v>
      </x:c>
      <x:c r="S37" s="21" t="n">
        <x:v>0.2</x:v>
      </x:c>
    </x:row>
    <x:row r="38" ht="22" customHeight="1">
      <x:c r="A38" s="10" t="str">
        <x:v>V3</x:v>
      </x:c>
      <x:c r="B38" s="10" t="str">
        <x:v>J10</x:v>
      </x:c>
      <x:c r="C38" s="10" t="str">
        <x:v>轻量部署</x:v>
      </x:c>
      <x:c r="D38" s="10" t="n">
        <x:v>1</x:v>
      </x:c>
      <x:c r="E38" s="16" t="n">
        <x:v>200000</x:v>
      </x:c>
      <x:c r="F38" s="16" t="n">
        <x:v>200000</x:v>
      </x:c>
      <x:c r="G38" s="16" t="n">
        <x:f>MAX(MIN(F38,E38),0)</x:f>
        <x:v>200000</x:v>
      </x:c>
      <x:c r="H38" s="16" t="n">
        <x:v>0</x:v>
      </x:c>
      <x:c r="I38" s="16" t="n">
        <x:f>MAX(G38-H38,0)</x:f>
        <x:v>200000</x:v>
      </x:c>
      <x:c r="J38" s="10" t="n">
        <x:v>0</x:v>
      </x:c>
      <x:c r="K38" s="20" t="n">
        <x:v>0.01</x:v>
      </x:c>
      <x:c r="L38" s="20" t="n">
        <x:v>0.8</x:v>
      </x:c>
      <x:c r="M38" s="20" t="n">
        <x:v>1.15</x:v>
      </x:c>
      <x:c r="N38" s="20" t="n">
        <x:f>MAX(L38,1-K38*J38)</x:f>
        <x:v>1</x:v>
      </x:c>
      <x:c r="O38" s="18" t="n">
        <x:f>MIN(I38,'制度参数'!$B$7)*'制度参数'!$B$9+MIN(MAX(I38-'制度参数'!$B$7,0),'制度参数'!$B$8-'制度参数'!$B$7)*'制度参数'!$B$10+MAX(I38-'制度参数'!$B$8,0)*'制度参数'!$B$11</x:f>
        <x:v>13000</x:v>
      </x:c>
      <x:c r="P38" s="16" t="n">
        <x:f>O38*M38*N38</x:f>
        <x:v>14949.999999999998</x:v>
      </x:c>
      <x:c r="Q38" s="18" t="n">
        <x:f>E38*'制度参数'!$B$21</x:f>
        <x:v>8000</x:v>
      </x:c>
      <x:c r="R38" s="16" t="n">
        <x:f>IF(D38=1,ROUND(MIN(P38,Q38),2),0)</x:f>
        <x:v>8000</x:v>
      </x:c>
      <x:c r="S38" s="22" t="n">
        <x:v>0</x:v>
      </x:c>
    </x:row>
    <x:row r="39" ht="22" customHeight="1">
      <x:c r="A39" s="1" t="str">
        <x:v>V3</x:v>
      </x:c>
      <x:c r="B39" s="1" t="str">
        <x:v>J11</x:v>
      </x:c>
      <x:c r="C39" s="1" t="str">
        <x:v>跨年验收</x:v>
      </x:c>
      <x:c r="D39" s="1" t="n">
        <x:v>0</x:v>
      </x:c>
      <x:c r="E39" s="15" t="n">
        <x:v>400000</x:v>
      </x:c>
      <x:c r="F39" s="15" t="n">
        <x:v>200000</x:v>
      </x:c>
      <x:c r="G39" s="15" t="n">
        <x:f>MAX(MIN(F39,E39),0)</x:f>
        <x:v>200000</x:v>
      </x:c>
      <x:c r="H39" s="15" t="n">
        <x:v>200000</x:v>
      </x:c>
      <x:c r="I39" s="15" t="n">
        <x:f>MAX(G39-H39,0)</x:f>
        <x:v>0</x:v>
      </x:c>
      <x:c r="J39" s="1" t="n">
        <x:v>0</x:v>
      </x:c>
      <x:c r="K39" s="19" t="n">
        <x:v>0.01</x:v>
      </x:c>
      <x:c r="L39" s="19" t="n">
        <x:v>0.8</x:v>
      </x:c>
      <x:c r="M39" s="19" t="n">
        <x:v>1</x:v>
      </x:c>
      <x:c r="N39" s="19" t="n">
        <x:f>MAX(L39,1-K39*J39)</x:f>
        <x:v>1</x:v>
      </x:c>
      <x:c r="O39" s="17" t="n">
        <x:f>MIN(I39,'制度参数'!$B$7)*'制度参数'!$B$9+MIN(MAX(I39-'制度参数'!$B$7,0),'制度参数'!$B$8-'制度参数'!$B$7)*'制度参数'!$B$10+MAX(I39-'制度参数'!$B$8,0)*'制度参数'!$B$11</x:f>
        <x:v>0</x:v>
      </x:c>
      <x:c r="P39" s="15" t="n">
        <x:f>O39*M39*N39</x:f>
        <x:v>0</x:v>
      </x:c>
      <x:c r="Q39" s="17" t="n">
        <x:f>E39*'制度参数'!$B$21</x:f>
        <x:v>16000</x:v>
      </x:c>
      <x:c r="R39" s="15" t="n">
        <x:f>IF(D39=1,ROUND(MIN(P39,Q39),2),0)</x:f>
        <x:v>0</x:v>
      </x:c>
      <x:c r="S39" s="21" t="n">
        <x:v>0.2</x:v>
      </x:c>
    </x:row>
    <x:row r="40" ht="22" customHeight="1">
      <x:c r="A40" s="10" t="str">
        <x:v>V3</x:v>
      </x:c>
      <x:c r="B40" s="10" t="str">
        <x:v>J12</x:v>
      </x:c>
      <x:c r="C40" s="10" t="str">
        <x:v>远程运维</x:v>
      </x:c>
      <x:c r="D40" s="10" t="n">
        <x:v>1</x:v>
      </x:c>
      <x:c r="E40" s="16" t="n">
        <x:v>650000</x:v>
      </x:c>
      <x:c r="F40" s="16" t="n">
        <x:v>395000</x:v>
      </x:c>
      <x:c r="G40" s="16" t="n">
        <x:f>MAX(MIN(F40,E40),0)</x:f>
        <x:v>395000</x:v>
      </x:c>
      <x:c r="H40" s="16" t="n">
        <x:v>305000</x:v>
      </x:c>
      <x:c r="I40" s="16" t="n">
        <x:f>MAX(G40-H40,0)</x:f>
        <x:v>90000</x:v>
      </x:c>
      <x:c r="J40" s="10" t="n">
        <x:v>3</x:v>
      </x:c>
      <x:c r="K40" s="20" t="n">
        <x:v>0.01</x:v>
      </x:c>
      <x:c r="L40" s="20" t="n">
        <x:v>0.8</x:v>
      </x:c>
      <x:c r="M40" s="20" t="n">
        <x:v>1</x:v>
      </x:c>
      <x:c r="N40" s="20" t="n">
        <x:f>MAX(L40,1-K40*J40)</x:f>
        <x:v>0.97</x:v>
      </x:c>
      <x:c r="O40" s="18" t="n">
        <x:f>MIN(I40,'制度参数'!$B$7)*'制度参数'!$B$9+MIN(MAX(I40-'制度参数'!$B$7,0),'制度参数'!$B$8-'制度参数'!$B$7)*'制度参数'!$B$10+MAX(I40-'制度参数'!$B$8,0)*'制度参数'!$B$11</x:f>
        <x:v>4500</x:v>
      </x:c>
      <x:c r="P40" s="16" t="n">
        <x:f>O40*M40*N40</x:f>
        <x:v>4365</x:v>
      </x:c>
      <x:c r="Q40" s="18" t="n">
        <x:f>E40*'制度参数'!$B$21</x:f>
        <x:v>26000</x:v>
      </x:c>
      <x:c r="R40" s="16" t="n">
        <x:f>IF(D40=1,ROUND(MIN(P40,Q40),2),0)</x:f>
        <x:v>4365</x:v>
      </x:c>
      <x:c r="S40" s="22" t="n">
        <x:v>0.2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9" hidden="0" customWidth="1"/>
    <x:col min="3" max="3" width="23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25" hidden="0" customWidth="1"/>
    <x:col min="15" max="15" width="23" hidden="0" customWidth="1"/>
    <x:col min="16" max="16" width="16" hidden="0" customWidth="1"/>
    <x:col min="17" max="17" width="20" hidden="0" customWidth="1"/>
    <x:col min="18" max="18" width="18" hidden="0" customWidth="1"/>
    <x:col min="19" max="19" width="18" hidden="0" customWidth="1"/>
    <x:col min="20" max="20" width="19" hidden="0" customWidth="1"/>
    <x:col min="21" max="21" width="23" hidden="0" customWidth="1"/>
    <x:col min="22" max="22" width="19" hidden="0" customWidth="1"/>
    <x:col min="23" max="23" width="19" hidden="0" customWidth="1"/>
  </x:cols>
  <x:sheetData>
    <x:row r="1" ht="32" customHeight="1">
      <x:c r="A1" s="3" t="str">
        <x:v>项目参与记录分配与发放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34" customHeight="1">
      <x:c r="A2" s="5" t="str">
        <x:v>参与编号为项目编号-工号。整数分最大余数法；余数并列按参与编号升序。权重0的对象保留。</x:v>
      </x:c>
      <x:c r="B2" s="5"/>
      <x:c r="C2" s="5"/>
      <x:c r="D2" s="5"/>
      <x:c r="E2" s="5"/>
      <x:c r="F2" s="5"/>
      <x:c r="G2" s="5"/>
      <x:c r="H2" s="5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</x:row>
    <x:row r="4" ht="34" customHeight="1">
      <x:c r="A4" s="9" t="str">
        <x:v>版本</x:v>
      </x:c>
      <x:c r="B4" s="9" t="str">
        <x:v>项目编号</x:v>
      </x:c>
      <x:c r="C4" s="9" t="str">
        <x:v>参与编号</x:v>
      </x:c>
      <x:c r="D4" s="9" t="str">
        <x:v>工号</x:v>
      </x:c>
      <x:c r="E4" s="9" t="str">
        <x:v>有效工时</x:v>
      </x:c>
      <x:c r="F4" s="9" t="str">
        <x:v>角色系数</x:v>
      </x:c>
      <x:c r="G4" s="9" t="str">
        <x:v>确认贡献分</x:v>
      </x:c>
      <x:c r="H4" s="9" t="str">
        <x:v>符合人员资格</x:v>
      </x:c>
      <x:c r="I4" s="9" t="str">
        <x:v>原始权重</x:v>
      </x:c>
      <x:c r="J4" s="9" t="str">
        <x:v>锁定金额</x:v>
      </x:c>
      <x:c r="K4" s="9" t="str">
        <x:v>项目奖金包</x:v>
      </x:c>
      <x:c r="L4" s="9" t="str">
        <x:v>锁定标记</x:v>
      </x:c>
      <x:c r="M4" s="9" t="str">
        <x:v>剩余金额</x:v>
      </x:c>
      <x:c r="N4" s="9" t="str">
        <x:v>未锁定权重合计</x:v>
      </x:c>
      <x:c r="O4" s="9" t="str">
        <x:v>精确分值</x:v>
      </x:c>
      <x:c r="P4" s="9" t="str">
        <x:v>整分</x:v>
      </x:c>
      <x:c r="Q4" s="9" t="str">
        <x:v>余数</x:v>
      </x:c>
      <x:c r="R4" s="9" t="str">
        <x:v>余数序号</x:v>
      </x:c>
      <x:c r="S4" s="9" t="str">
        <x:v>待补分数</x:v>
      </x:c>
      <x:c r="T4" s="9" t="str">
        <x:v>应得</x:v>
      </x:c>
      <x:c r="U4" s="9" t="str">
        <x:v>质保暂缓比例</x:v>
      </x:c>
      <x:c r="V4" s="9" t="str">
        <x:v>可发上限</x:v>
      </x:c>
      <x:c r="W4" s="9" t="str">
        <x:v>暂缓</x:v>
      </x:c>
    </x:row>
    <x:row r="5" ht="22" customHeight="1">
      <x:c r="A5" s="1" t="str">
        <x:v>V1</x:v>
      </x:c>
      <x:c r="B5" s="1" t="str">
        <x:v>J01</x:v>
      </x:c>
      <x:c r="C5" s="1" t="str">
        <x:v>J01-U001</x:v>
      </x:c>
      <x:c r="D5" s="1" t="str">
        <x:v>U001</x:v>
      </x:c>
      <x:c r="E5" s="23" t="n">
        <x:v>118.5</x:v>
      </x:c>
      <x:c r="F5" s="23" t="n">
        <x:v>1.2</x:v>
      </x:c>
      <x:c r="G5" s="1" t="n">
        <x:v>94</x:v>
      </x:c>
      <x:c r="H5" s="1" t="n">
        <x:v>1</x:v>
      </x:c>
      <x:c r="I5" s="25" t="n">
        <x:f>E5*F5*G5/100*H5</x:f>
        <x:v>133.668</x:v>
      </x:c>
      <x:c r="J5" s="15"/>
      <x:c r="K5" s="17" t="n">
        <x:f>'项目计算'!R5</x:f>
        <x:v>5750</x:v>
      </x:c>
      <x:c r="L5" s="1" t="n">
        <x:v>0</x:v>
      </x:c>
      <x:c r="M5" s="15" t="n">
        <x:f>K5-SUMIFS($J$5:$J$148,$A$5:$A$148,A5,$B$5:$B$148,B5)</x:f>
        <x:v>5750</x:v>
      </x:c>
      <x:c r="N5" s="27" t="n">
        <x:f>SUMIFS($I$5:$I$148,$A$5:$A$148,A5,$B$5:$B$148,B5,$L$5:$L$148,0)</x:f>
        <x:v>304.37</x:v>
      </x:c>
      <x:c r="O5" s="27" t="n">
        <x:f>IF(L5=1,J5*100,IF(N5=0,0,M5*100*I5/N5))</x:f>
        <x:v>252518.64507014488</x:v>
      </x:c>
      <x:c r="P5" s="27" t="n">
        <x:f>ROUNDDOWN(O5,0)</x:f>
        <x:v>252518</x:v>
      </x:c>
      <x:c r="Q5" s="27" t="n">
        <x:f>ROUND(O5-P5,10)</x:f>
        <x:v>0.6450701449</x:v>
      </x:c>
      <x:c r="R5" s="1" t="n">
        <x:f>IF(L5=1,0,COUNTIFS($A$5:$A$148,A5,$B$5:$B$148,B5,$L$5:$L$148,0,$Q$5:$Q$148,"&gt;"&amp;Q5)+COUNTIFS($A$5:$A$148,A5,$B$5:$B$148,B5,$L$5:$L$148,0,$Q$5:$Q$148,Q5,$C$5:$C$148,"&lt;"&amp;C5)+1)</x:f>
        <x:v>2</x:v>
      </x:c>
      <x:c r="S5" s="1" t="n">
        <x:f>ROUND(M5*100-SUMIFS($P$5:$P$148,$A$5:$A$148,A5,$B$5:$B$148,B5,$L$5:$L$148,0),0)</x:f>
        <x:v>2</x:v>
      </x:c>
      <x:c r="T5" s="15" t="n">
        <x:f>IF(L5=1,J5,(P5+IF(R5&lt;=S5,1,0))/100)</x:f>
        <x:v>2525.19</x:v>
      </x:c>
      <x:c r="U5" s="29" t="n">
        <x:f>'项目计算'!S5</x:f>
        <x:v>0.2</x:v>
      </x:c>
      <x:c r="V5" s="15" t="n">
        <x:f>ROUND(T5*(1-U5),2)</x:f>
        <x:v>2020.15</x:v>
      </x:c>
      <x:c r="W5" s="15" t="n">
        <x:f>T5-V5</x:f>
        <x:v>505.03999999999996</x:v>
      </x:c>
    </x:row>
    <x:row r="6" ht="22" customHeight="1">
      <x:c r="A6" s="10" t="str">
        <x:v>V1</x:v>
      </x:c>
      <x:c r="B6" s="10" t="str">
        <x:v>J01</x:v>
      </x:c>
      <x:c r="C6" s="10" t="str">
        <x:v>J01-U002</x:v>
      </x:c>
      <x:c r="D6" s="10" t="str">
        <x:v>U002</x:v>
      </x:c>
      <x:c r="E6" s="24" t="n">
        <x:v>111.5</x:v>
      </x:c>
      <x:c r="F6" s="24" t="n">
        <x:v>1</x:v>
      </x:c>
      <x:c r="G6" s="10" t="n">
        <x:v>89</x:v>
      </x:c>
      <x:c r="H6" s="10" t="n">
        <x:v>1</x:v>
      </x:c>
      <x:c r="I6" s="26" t="n">
        <x:f>E6*F6*G6/100*H6</x:f>
        <x:v>99.235</x:v>
      </x:c>
      <x:c r="J6" s="16"/>
      <x:c r="K6" s="18" t="n">
        <x:f>'项目计算'!R5</x:f>
        <x:v>5750</x:v>
      </x:c>
      <x:c r="L6" s="10" t="n">
        <x:v>0</x:v>
      </x:c>
      <x:c r="M6" s="16" t="n">
        <x:f>K6-SUMIFS($J$5:$J$148,$A$5:$A$148,A6,$B$5:$B$148,B6)</x:f>
        <x:v>5750</x:v>
      </x:c>
      <x:c r="N6" s="28" t="n">
        <x:f>SUMIFS($I$5:$I$148,$A$5:$A$148,A6,$B$5:$B$148,B6,$L$5:$L$148,0)</x:f>
        <x:v>304.37</x:v>
      </x:c>
      <x:c r="O6" s="28" t="n">
        <x:f>IF(L6=1,J6*100,IF(N6=0,0,M6*100*I6/N6))</x:f>
        <x:v>187469.60935703255</x:v>
      </x:c>
      <x:c r="P6" s="28" t="n">
        <x:f>ROUNDDOWN(O6,0)</x:f>
        <x:v>187469</x:v>
      </x:c>
      <x:c r="Q6" s="28" t="n">
        <x:f>ROUND(O6-P6,10)</x:f>
        <x:v>0.6093570325</x:v>
      </x:c>
      <x:c r="R6" s="10" t="n">
        <x:f>IF(L6=1,0,COUNTIFS($A$5:$A$148,A6,$B$5:$B$148,B6,$L$5:$L$148,0,$Q$5:$Q$148,"&gt;"&amp;Q6)+COUNTIFS($A$5:$A$148,A6,$B$5:$B$148,B6,$L$5:$L$148,0,$Q$5:$Q$148,Q6,$C$5:$C$148,"&lt;"&amp;C6)+1)</x:f>
        <x:v>3</x:v>
      </x:c>
      <x:c r="S6" s="10" t="n">
        <x:f>ROUND(M6*100-SUMIFS($P$5:$P$148,$A$5:$A$148,A6,$B$5:$B$148,B6,$L$5:$L$148,0),0)</x:f>
        <x:v>2</x:v>
      </x:c>
      <x:c r="T6" s="16" t="n">
        <x:f>IF(L6=1,J6,(P6+IF(R6&lt;=S6,1,0))/100)</x:f>
        <x:v>1874.69</x:v>
      </x:c>
      <x:c r="U6" s="30" t="n">
        <x:f>'项目计算'!S5</x:f>
        <x:v>0.2</x:v>
      </x:c>
      <x:c r="V6" s="16" t="n">
        <x:f>ROUND(T6*(1-U6),2)</x:f>
        <x:v>1499.75</x:v>
      </x:c>
      <x:c r="W6" s="16" t="n">
        <x:f>T6-V6</x:f>
        <x:v>374.94000000000005</x:v>
      </x:c>
    </x:row>
    <x:row r="7" ht="22" customHeight="1">
      <x:c r="A7" s="1" t="str">
        <x:v>V1</x:v>
      </x:c>
      <x:c r="B7" s="1" t="str">
        <x:v>J01</x:v>
      </x:c>
      <x:c r="C7" s="1" t="str">
        <x:v>J01-U003</x:v>
      </x:c>
      <x:c r="D7" s="1" t="str">
        <x:v>U003</x:v>
      </x:c>
      <x:c r="E7" s="23" t="n">
        <x:v>73</x:v>
      </x:c>
      <x:c r="F7" s="23" t="n">
        <x:v>1.1</x:v>
      </x:c>
      <x:c r="G7" s="1" t="n">
        <x:v>89</x:v>
      </x:c>
      <x:c r="H7" s="1" t="n">
        <x:v>1</x:v>
      </x:c>
      <x:c r="I7" s="25" t="n">
        <x:f>E7*F7*G7/100*H7</x:f>
        <x:v>71.46700000000001</x:v>
      </x:c>
      <x:c r="J7" s="15"/>
      <x:c r="K7" s="17" t="n">
        <x:f>'项目计算'!R5</x:f>
        <x:v>5750</x:v>
      </x:c>
      <x:c r="L7" s="1" t="n">
        <x:v>0</x:v>
      </x:c>
      <x:c r="M7" s="15" t="n">
        <x:f>K7-SUMIFS($J$5:$J$148,$A$5:$A$148,A7,$B$5:$B$148,B7)</x:f>
        <x:v>5750</x:v>
      </x:c>
      <x:c r="N7" s="27" t="n">
        <x:f>SUMIFS($I$5:$I$148,$A$5:$A$148,A7,$B$5:$B$148,B7,$L$5:$L$148,0)</x:f>
        <x:v>304.37</x:v>
      </x:c>
      <x:c r="O7" s="27" t="n">
        <x:f>IF(L7=1,J7*100,IF(N7=0,0,M7*100*I7/N7))</x:f>
        <x:v>135011.74557282258</x:v>
      </x:c>
      <x:c r="P7" s="27" t="n">
        <x:f>ROUNDDOWN(O7,0)</x:f>
        <x:v>135011</x:v>
      </x:c>
      <x:c r="Q7" s="27" t="n">
        <x:f>ROUND(O7-P7,10)</x:f>
        <x:v>0.7455728226</x:v>
      </x:c>
      <x:c r="R7" s="1" t="n">
        <x:f>IF(L7=1,0,COUNTIFS($A$5:$A$148,A7,$B$5:$B$148,B7,$L$5:$L$148,0,$Q$5:$Q$148,"&gt;"&amp;Q7)+COUNTIFS($A$5:$A$148,A7,$B$5:$B$148,B7,$L$5:$L$148,0,$Q$5:$Q$148,Q7,$C$5:$C$148,"&lt;"&amp;C7)+1)</x:f>
        <x:v>1</x:v>
      </x:c>
      <x:c r="S7" s="1" t="n">
        <x:f>ROUND(M7*100-SUMIFS($P$5:$P$148,$A$5:$A$148,A7,$B$5:$B$148,B7,$L$5:$L$148,0),0)</x:f>
        <x:v>2</x:v>
      </x:c>
      <x:c r="T7" s="15" t="n">
        <x:f>IF(L7=1,J7,(P7+IF(R7&lt;=S7,1,0))/100)</x:f>
        <x:v>1350.12</x:v>
      </x:c>
      <x:c r="U7" s="29" t="n">
        <x:f>'项目计算'!S5</x:f>
        <x:v>0.2</x:v>
      </x:c>
      <x:c r="V7" s="15" t="n">
        <x:f>ROUND(T7*(1-U7),2)</x:f>
        <x:v>1080.1</x:v>
      </x:c>
      <x:c r="W7" s="15" t="n">
        <x:f>T7-V7</x:f>
        <x:v>270.02</x:v>
      </x:c>
    </x:row>
    <x:row r="8" ht="22" customHeight="1">
      <x:c r="A8" s="10" t="str">
        <x:v>V1</x:v>
      </x:c>
      <x:c r="B8" s="10" t="str">
        <x:v>J01</x:v>
      </x:c>
      <x:c r="C8" s="10" t="str">
        <x:v>J01-U018</x:v>
      </x:c>
      <x:c r="D8" s="10" t="str">
        <x:v>U018</x:v>
      </x:c>
      <x:c r="E8" s="24" t="n">
        <x:v>114.5</x:v>
      </x:c>
      <x:c r="F8" s="24" t="n">
        <x:v>0.9</x:v>
      </x:c>
      <x:c r="G8" s="10" t="n">
        <x:v>76</x:v>
      </x:c>
      <x:c r="H8" s="10" t="n">
        <x:v>0</x:v>
      </x:c>
      <x:c r="I8" s="26" t="n">
        <x:f>E8*F8*G8/100*H8</x:f>
        <x:v>0</x:v>
      </x:c>
      <x:c r="J8" s="16"/>
      <x:c r="K8" s="18" t="n">
        <x:f>'项目计算'!R5</x:f>
        <x:v>5750</x:v>
      </x:c>
      <x:c r="L8" s="10" t="n">
        <x:v>0</x:v>
      </x:c>
      <x:c r="M8" s="16" t="n">
        <x:f>K8-SUMIFS($J$5:$J$148,$A$5:$A$148,A8,$B$5:$B$148,B8)</x:f>
        <x:v>5750</x:v>
      </x:c>
      <x:c r="N8" s="28" t="n">
        <x:f>SUMIFS($I$5:$I$148,$A$5:$A$148,A8,$B$5:$B$148,B8,$L$5:$L$148,0)</x:f>
        <x:v>304.37</x:v>
      </x:c>
      <x:c r="O8" s="28" t="n">
        <x:f>IF(L8=1,J8*100,IF(N8=0,0,M8*100*I8/N8))</x:f>
        <x:v>0</x:v>
      </x:c>
      <x:c r="P8" s="28" t="n">
        <x:f>ROUNDDOWN(O8,0)</x:f>
        <x:v>0</x:v>
      </x:c>
      <x:c r="Q8" s="28" t="n">
        <x:f>ROUND(O8-P8,10)</x:f>
        <x:v>0</x:v>
      </x:c>
      <x:c r="R8" s="10" t="n">
        <x:f>IF(L8=1,0,COUNTIFS($A$5:$A$148,A8,$B$5:$B$148,B8,$L$5:$L$148,0,$Q$5:$Q$148,"&gt;"&amp;Q8)+COUNTIFS($A$5:$A$148,A8,$B$5:$B$148,B8,$L$5:$L$148,0,$Q$5:$Q$148,Q8,$C$5:$C$148,"&lt;"&amp;C8)+1)</x:f>
        <x:v>4</x:v>
      </x:c>
      <x:c r="S8" s="10" t="n">
        <x:f>ROUND(M8*100-SUMIFS($P$5:$P$148,$A$5:$A$148,A8,$B$5:$B$148,B8,$L$5:$L$148,0),0)</x:f>
        <x:v>2</x:v>
      </x:c>
      <x:c r="T8" s="16" t="n">
        <x:f>IF(L8=1,J8,(P8+IF(R8&lt;=S8,1,0))/100)</x:f>
        <x:v>0</x:v>
      </x:c>
      <x:c r="U8" s="30" t="n">
        <x:f>'项目计算'!S5</x:f>
        <x:v>0.2</x:v>
      </x:c>
      <x:c r="V8" s="16" t="n">
        <x:f>ROUND(T8*(1-U8),2)</x:f>
        <x:v>0</x:v>
      </x:c>
      <x:c r="W8" s="16" t="n">
        <x:f>T8-V8</x:f>
        <x:v>0</x:v>
      </x:c>
    </x:row>
    <x:row r="9" ht="22" customHeight="1">
      <x:c r="A9" s="1" t="str">
        <x:v>V1</x:v>
      </x:c>
      <x:c r="B9" s="1" t="str">
        <x:v>J02</x:v>
      </x:c>
      <x:c r="C9" s="1" t="str">
        <x:v>J02-U004</x:v>
      </x:c>
      <x:c r="D9" s="1" t="str">
        <x:v>U004</x:v>
      </x:c>
      <x:c r="E9" s="23" t="n">
        <x:v>83.5</x:v>
      </x:c>
      <x:c r="F9" s="23" t="n">
        <x:v>1.2</x:v>
      </x:c>
      <x:c r="G9" s="1" t="n">
        <x:v>92</x:v>
      </x:c>
      <x:c r="H9" s="1" t="n">
        <x:v>1</x:v>
      </x:c>
      <x:c r="I9" s="25" t="n">
        <x:f>E9*F9*G9/100*H9</x:f>
        <x:v>92.184</x:v>
      </x:c>
      <x:c r="J9" s="15"/>
      <x:c r="K9" s="17" t="n">
        <x:f>'项目计算'!R6</x:f>
        <x:v>18900</x:v>
      </x:c>
      <x:c r="L9" s="1" t="n">
        <x:v>0</x:v>
      </x:c>
      <x:c r="M9" s="15" t="n">
        <x:f>K9-SUMIFS($J$5:$J$148,$A$5:$A$148,A9,$B$5:$B$148,B9)</x:f>
        <x:v>18900</x:v>
      </x:c>
      <x:c r="N9" s="27" t="n">
        <x:f>SUMIFS($I$5:$I$148,$A$5:$A$148,A9,$B$5:$B$148,B9,$L$5:$L$148,0)</x:f>
        <x:v>264.649</x:v>
      </x:c>
      <x:c r="O9" s="27" t="n">
        <x:f>IF(L9=1,J9*100,IF(N9=0,0,M9*100*I9/N9))</x:f>
        <x:v>658335.2289258603</x:v>
      </x:c>
      <x:c r="P9" s="27" t="n">
        <x:f>ROUNDDOWN(O9,0)</x:f>
        <x:v>658335</x:v>
      </x:c>
      <x:c r="Q9" s="27" t="n">
        <x:f>ROUND(O9-P9,10)</x:f>
        <x:v>0.2289258603</x:v>
      </x:c>
      <x:c r="R9" s="1" t="n">
        <x:f>IF(L9=1,0,COUNTIFS($A$5:$A$148,A9,$B$5:$B$148,B9,$L$5:$L$148,0,$Q$5:$Q$148,"&gt;"&amp;Q9)+COUNTIFS($A$5:$A$148,A9,$B$5:$B$148,B9,$L$5:$L$148,0,$Q$5:$Q$148,Q9,$C$5:$C$148,"&lt;"&amp;C9)+1)</x:f>
        <x:v>2</x:v>
      </x:c>
      <x:c r="S9" s="1" t="n">
        <x:f>ROUND(M9*100-SUMIFS($P$5:$P$148,$A$5:$A$148,A9,$B$5:$B$148,B9,$L$5:$L$148,0),0)</x:f>
        <x:v>1</x:v>
      </x:c>
      <x:c r="T9" s="15" t="n">
        <x:f>IF(L9=1,J9,(P9+IF(R9&lt;=S9,1,0))/100)</x:f>
        <x:v>6583.35</x:v>
      </x:c>
      <x:c r="U9" s="29" t="n">
        <x:f>'项目计算'!S6</x:f>
        <x:v>0</x:v>
      </x:c>
      <x:c r="V9" s="15" t="n">
        <x:f>ROUND(T9*(1-U9),2)</x:f>
        <x:v>6583.35</x:v>
      </x:c>
      <x:c r="W9" s="15" t="n">
        <x:f>T9-V9</x:f>
        <x:v>0</x:v>
      </x:c>
    </x:row>
    <x:row r="10" ht="22" customHeight="1">
      <x:c r="A10" s="10" t="str">
        <x:v>V1</x:v>
      </x:c>
      <x:c r="B10" s="10" t="str">
        <x:v>J02</x:v>
      </x:c>
      <x:c r="C10" s="10" t="str">
        <x:v>J02-U005</x:v>
      </x:c>
      <x:c r="D10" s="10" t="str">
        <x:v>U005</x:v>
      </x:c>
      <x:c r="E10" s="24" t="n">
        <x:v>76.5</x:v>
      </x:c>
      <x:c r="F10" s="24" t="n">
        <x:v>1</x:v>
      </x:c>
      <x:c r="G10" s="10" t="n">
        <x:v>66</x:v>
      </x:c>
      <x:c r="H10" s="10" t="n">
        <x:v>1</x:v>
      </x:c>
      <x:c r="I10" s="26" t="n">
        <x:f>E10*F10*G10/100*H10</x:f>
        <x:v>50.49</x:v>
      </x:c>
      <x:c r="J10" s="16"/>
      <x:c r="K10" s="18" t="n">
        <x:f>'项目计算'!R6</x:f>
        <x:v>18900</x:v>
      </x:c>
      <x:c r="L10" s="10" t="n">
        <x:v>0</x:v>
      </x:c>
      <x:c r="M10" s="16" t="n">
        <x:f>K10-SUMIFS($J$5:$J$148,$A$5:$A$148,A10,$B$5:$B$148,B10)</x:f>
        <x:v>18900</x:v>
      </x:c>
      <x:c r="N10" s="28" t="n">
        <x:f>SUMIFS($I$5:$I$148,$A$5:$A$148,A10,$B$5:$B$148,B10,$L$5:$L$148,0)</x:f>
        <x:v>264.649</x:v>
      </x:c>
      <x:c r="O10" s="28" t="n">
        <x:f>IF(L10=1,J10*100,IF(N10=0,0,M10*100*I10/N10))</x:f>
        <x:v>360576.0837940064</x:v>
      </x:c>
      <x:c r="P10" s="28" t="n">
        <x:f>ROUNDDOWN(O10,0)</x:f>
        <x:v>360576</x:v>
      </x:c>
      <x:c r="Q10" s="28" t="n">
        <x:f>ROUND(O10-P10,10)</x:f>
        <x:v>0.0837940064</x:v>
      </x:c>
      <x:c r="R10" s="10" t="n">
        <x:f>IF(L10=1,0,COUNTIFS($A$5:$A$148,A10,$B$5:$B$148,B10,$L$5:$L$148,0,$Q$5:$Q$148,"&gt;"&amp;Q10)+COUNTIFS($A$5:$A$148,A10,$B$5:$B$148,B10,$L$5:$L$148,0,$Q$5:$Q$148,Q10,$C$5:$C$148,"&lt;"&amp;C10)+1)</x:f>
        <x:v>3</x:v>
      </x:c>
      <x:c r="S10" s="10" t="n">
        <x:f>ROUND(M10*100-SUMIFS($P$5:$P$148,$A$5:$A$148,A10,$B$5:$B$148,B10,$L$5:$L$148,0),0)</x:f>
        <x:v>1</x:v>
      </x:c>
      <x:c r="T10" s="16" t="n">
        <x:f>IF(L10=1,J10,(P10+IF(R10&lt;=S10,1,0))/100)</x:f>
        <x:v>3605.76</x:v>
      </x:c>
      <x:c r="U10" s="30" t="n">
        <x:f>'项目计算'!S6</x:f>
        <x:v>0</x:v>
      </x:c>
      <x:c r="V10" s="16" t="n">
        <x:f>ROUND(T10*(1-U10),2)</x:f>
        <x:v>3605.76</x:v>
      </x:c>
      <x:c r="W10" s="16" t="n">
        <x:f>T10-V10</x:f>
        <x:v>0</x:v>
      </x:c>
    </x:row>
    <x:row r="11" ht="22" customHeight="1">
      <x:c r="A11" s="1" t="str">
        <x:v>V1</x:v>
      </x:c>
      <x:c r="B11" s="1" t="str">
        <x:v>J02</x:v>
      </x:c>
      <x:c r="C11" s="1" t="str">
        <x:v>J02-U006</x:v>
      </x:c>
      <x:c r="D11" s="1" t="str">
        <x:v>U006</x:v>
      </x:c>
      <x:c r="E11" s="23" t="n">
        <x:v>61</x:v>
      </x:c>
      <x:c r="F11" s="23" t="n">
        <x:v>1.1</x:v>
      </x:c>
      <x:c r="G11" s="1" t="n">
        <x:v>77</x:v>
      </x:c>
      <x:c r="H11" s="1" t="n">
        <x:v>1</x:v>
      </x:c>
      <x:c r="I11" s="25" t="n">
        <x:f>E11*F11*G11/100*H11</x:f>
        <x:v>51.66700000000001</x:v>
      </x:c>
      <x:c r="J11" s="15"/>
      <x:c r="K11" s="17" t="n">
        <x:f>'项目计算'!R6</x:f>
        <x:v>18900</x:v>
      </x:c>
      <x:c r="L11" s="1" t="n">
        <x:v>0</x:v>
      </x:c>
      <x:c r="M11" s="15" t="n">
        <x:f>K11-SUMIFS($J$5:$J$148,$A$5:$A$148,A11,$B$5:$B$148,B11)</x:f>
        <x:v>18900</x:v>
      </x:c>
      <x:c r="N11" s="27" t="n">
        <x:f>SUMIFS($I$5:$I$148,$A$5:$A$148,A11,$B$5:$B$148,B11,$L$5:$L$148,0)</x:f>
        <x:v>264.649</x:v>
      </x:c>
      <x:c r="O11" s="27" t="n">
        <x:f>IF(L11=1,J11*100,IF(N11=0,0,M11*100*I11/N11))</x:f>
        <x:v>368981.67006109987</x:v>
      </x:c>
      <x:c r="P11" s="27" t="n">
        <x:f>ROUNDDOWN(O11,0)</x:f>
        <x:v>368981</x:v>
      </x:c>
      <x:c r="Q11" s="27" t="n">
        <x:f>ROUND(O11-P11,10)</x:f>
        <x:v>0.6700610999</x:v>
      </x:c>
      <x:c r="R11" s="1" t="n">
        <x:f>IF(L11=1,0,COUNTIFS($A$5:$A$148,A11,$B$5:$B$148,B11,$L$5:$L$148,0,$Q$5:$Q$148,"&gt;"&amp;Q11)+COUNTIFS($A$5:$A$148,A11,$B$5:$B$148,B11,$L$5:$L$148,0,$Q$5:$Q$148,Q11,$C$5:$C$148,"&lt;"&amp;C11)+1)</x:f>
        <x:v>1</x:v>
      </x:c>
      <x:c r="S11" s="1" t="n">
        <x:f>ROUND(M11*100-SUMIFS($P$5:$P$148,$A$5:$A$148,A11,$B$5:$B$148,B11,$L$5:$L$148,0),0)</x:f>
        <x:v>1</x:v>
      </x:c>
      <x:c r="T11" s="15" t="n">
        <x:f>IF(L11=1,J11,(P11+IF(R11&lt;=S11,1,0))/100)</x:f>
        <x:v>3689.82</x:v>
      </x:c>
      <x:c r="U11" s="29" t="n">
        <x:f>'项目计算'!S6</x:f>
        <x:v>0</x:v>
      </x:c>
      <x:c r="V11" s="15" t="n">
        <x:f>ROUND(T11*(1-U11),2)</x:f>
        <x:v>3689.82</x:v>
      </x:c>
      <x:c r="W11" s="15" t="n">
        <x:f>T11-V11</x:f>
        <x:v>0</x:v>
      </x:c>
    </x:row>
    <x:row r="12" ht="22" customHeight="1">
      <x:c r="A12" s="10" t="str">
        <x:v>V1</x:v>
      </x:c>
      <x:c r="B12" s="10" t="str">
        <x:v>J02</x:v>
      </x:c>
      <x:c r="C12" s="10" t="str">
        <x:v>J02-U007</x:v>
      </x:c>
      <x:c r="D12" s="10" t="str">
        <x:v>U007</x:v>
      </x:c>
      <x:c r="E12" s="24" t="n">
        <x:v>108.5</x:v>
      </x:c>
      <x:c r="F12" s="24" t="n">
        <x:v>0.9</x:v>
      </x:c>
      <x:c r="G12" s="10" t="n">
        <x:v>72</x:v>
      </x:c>
      <x:c r="H12" s="10" t="n">
        <x:v>1</x:v>
      </x:c>
      <x:c r="I12" s="26" t="n">
        <x:f>E12*F12*G12/100*H12</x:f>
        <x:v>70.308</x:v>
      </x:c>
      <x:c r="J12" s="16"/>
      <x:c r="K12" s="18" t="n">
        <x:f>'项目计算'!R6</x:f>
        <x:v>18900</x:v>
      </x:c>
      <x:c r="L12" s="10" t="n">
        <x:v>0</x:v>
      </x:c>
      <x:c r="M12" s="16" t="n">
        <x:f>K12-SUMIFS($J$5:$J$148,$A$5:$A$148,A12,$B$5:$B$148,B12)</x:f>
        <x:v>18900</x:v>
      </x:c>
      <x:c r="N12" s="28" t="n">
        <x:f>SUMIFS($I$5:$I$148,$A$5:$A$148,A12,$B$5:$B$148,B12,$L$5:$L$148,0)</x:f>
        <x:v>264.649</x:v>
      </x:c>
      <x:c r="O12" s="28" t="n">
        <x:f>IF(L12=1,J12*100,IF(N12=0,0,M12*100*I12/N12))</x:f>
        <x:v>502107.01721903356</x:v>
      </x:c>
      <x:c r="P12" s="28" t="n">
        <x:f>ROUNDDOWN(O12,0)</x:f>
        <x:v>502107</x:v>
      </x:c>
      <x:c r="Q12" s="28" t="n">
        <x:f>ROUND(O12-P12,10)</x:f>
        <x:v>0.0172190336</x:v>
      </x:c>
      <x:c r="R12" s="10" t="n">
        <x:f>IF(L12=1,0,COUNTIFS($A$5:$A$148,A12,$B$5:$B$148,B12,$L$5:$L$148,0,$Q$5:$Q$148,"&gt;"&amp;Q12)+COUNTIFS($A$5:$A$148,A12,$B$5:$B$148,B12,$L$5:$L$148,0,$Q$5:$Q$148,Q12,$C$5:$C$148,"&lt;"&amp;C12)+1)</x:f>
        <x:v>4</x:v>
      </x:c>
      <x:c r="S12" s="10" t="n">
        <x:f>ROUND(M12*100-SUMIFS($P$5:$P$148,$A$5:$A$148,A12,$B$5:$B$148,B12,$L$5:$L$148,0),0)</x:f>
        <x:v>1</x:v>
      </x:c>
      <x:c r="T12" s="16" t="n">
        <x:f>IF(L12=1,J12,(P12+IF(R12&lt;=S12,1,0))/100)</x:f>
        <x:v>5021.07</x:v>
      </x:c>
      <x:c r="U12" s="30" t="n">
        <x:f>'项目计算'!S6</x:f>
        <x:v>0</x:v>
      </x:c>
      <x:c r="V12" s="16" t="n">
        <x:f>ROUND(T12*(1-U12),2)</x:f>
        <x:v>5021.07</x:v>
      </x:c>
      <x:c r="W12" s="16" t="n">
        <x:f>T12-V12</x:f>
        <x:v>0</x:v>
      </x:c>
    </x:row>
    <x:row r="13" ht="22" customHeight="1">
      <x:c r="A13" s="1" t="str">
        <x:v>V1</x:v>
      </x:c>
      <x:c r="B13" s="1" t="str">
        <x:v>J03</x:v>
      </x:c>
      <x:c r="C13" s="1" t="str">
        <x:v>J03-U007</x:v>
      </x:c>
      <x:c r="D13" s="1" t="str">
        <x:v>U007</x:v>
      </x:c>
      <x:c r="E13" s="23" t="n">
        <x:v>74.5</x:v>
      </x:c>
      <x:c r="F13" s="23" t="n">
        <x:v>1.2</x:v>
      </x:c>
      <x:c r="G13" s="1" t="n">
        <x:v>71</x:v>
      </x:c>
      <x:c r="H13" s="1" t="n">
        <x:v>1</x:v>
      </x:c>
      <x:c r="I13" s="25" t="n">
        <x:f>E13*F13*G13/100*H13</x:f>
        <x:v>63.474</x:v>
      </x:c>
      <x:c r="J13" s="15"/>
      <x:c r="K13" s="17" t="n">
        <x:f>'项目计算'!R7</x:f>
        <x:v>34615</x:v>
      </x:c>
      <x:c r="L13" s="1" t="n">
        <x:v>0</x:v>
      </x:c>
      <x:c r="M13" s="15" t="n">
        <x:f>K13-SUMIFS($J$5:$J$148,$A$5:$A$148,A13,$B$5:$B$148,B13)</x:f>
        <x:v>34615</x:v>
      </x:c>
      <x:c r="N13" s="27" t="n">
        <x:f>SUMIFS($I$5:$I$148,$A$5:$A$148,A13,$B$5:$B$148,B13,$L$5:$L$148,0)</x:f>
        <x:v>225.695</x:v>
      </x:c>
      <x:c r="O13" s="27" t="n">
        <x:f>IF(L13=1,J13*100,IF(N13=0,0,M13*100*I13/N13))</x:f>
        <x:v>973505.1773411019</x:v>
      </x:c>
      <x:c r="P13" s="27" t="n">
        <x:f>ROUNDDOWN(O13,0)</x:f>
        <x:v>973505</x:v>
      </x:c>
      <x:c r="Q13" s="27" t="n">
        <x:f>ROUND(O13-P13,10)</x:f>
        <x:v>0.1773411019</x:v>
      </x:c>
      <x:c r="R13" s="1" t="n">
        <x:f>IF(L13=1,0,COUNTIFS($A$5:$A$148,A13,$B$5:$B$148,B13,$L$5:$L$148,0,$Q$5:$Q$148,"&gt;"&amp;Q13)+COUNTIFS($A$5:$A$148,A13,$B$5:$B$148,B13,$L$5:$L$148,0,$Q$5:$Q$148,Q13,$C$5:$C$148,"&lt;"&amp;C13)+1)</x:f>
        <x:v>3</x:v>
      </x:c>
      <x:c r="S13" s="1" t="n">
        <x:f>ROUND(M13*100-SUMIFS($P$5:$P$148,$A$5:$A$148,A13,$B$5:$B$148,B13,$L$5:$L$148,0),0)</x:f>
        <x:v>2</x:v>
      </x:c>
      <x:c r="T13" s="15" t="n">
        <x:f>IF(L13=1,J13,(P13+IF(R13&lt;=S13,1,0))/100)</x:f>
        <x:v>9735.05</x:v>
      </x:c>
      <x:c r="U13" s="29" t="n">
        <x:f>'项目计算'!S7</x:f>
        <x:v>0.2</x:v>
      </x:c>
      <x:c r="V13" s="15" t="n">
        <x:f>ROUND(T13*(1-U13),2)</x:f>
        <x:v>7788.04</x:v>
      </x:c>
      <x:c r="W13" s="15" t="n">
        <x:f>T13-V13</x:f>
        <x:v>1947.0099999999993</x:v>
      </x:c>
    </x:row>
    <x:row r="14" ht="22" customHeight="1">
      <x:c r="A14" s="10" t="str">
        <x:v>V1</x:v>
      </x:c>
      <x:c r="B14" s="10" t="str">
        <x:v>J03</x:v>
      </x:c>
      <x:c r="C14" s="10" t="str">
        <x:v>J03-U008</x:v>
      </x:c>
      <x:c r="D14" s="10" t="str">
        <x:v>U008</x:v>
      </x:c>
      <x:c r="E14" s="24" t="n">
        <x:v>88.5</x:v>
      </x:c>
      <x:c r="F14" s="24" t="n">
        <x:v>1</x:v>
      </x:c>
      <x:c r="G14" s="10" t="n">
        <x:v>91</x:v>
      </x:c>
      <x:c r="H14" s="10" t="n">
        <x:v>1</x:v>
      </x:c>
      <x:c r="I14" s="26" t="n">
        <x:f>E14*F14*G14/100*H14</x:f>
        <x:v>80.535</x:v>
      </x:c>
      <x:c r="J14" s="16"/>
      <x:c r="K14" s="18" t="n">
        <x:f>'项目计算'!R7</x:f>
        <x:v>34615</x:v>
      </x:c>
      <x:c r="L14" s="10" t="n">
        <x:v>0</x:v>
      </x:c>
      <x:c r="M14" s="16" t="n">
        <x:f>K14-SUMIFS($J$5:$J$148,$A$5:$A$148,A14,$B$5:$B$148,B14)</x:f>
        <x:v>34615</x:v>
      </x:c>
      <x:c r="N14" s="28" t="n">
        <x:f>SUMIFS($I$5:$I$148,$A$5:$A$148,A14,$B$5:$B$148,B14,$L$5:$L$148,0)</x:f>
        <x:v>225.695</x:v>
      </x:c>
      <x:c r="O14" s="28" t="n">
        <x:f>IF(L14=1,J14*100,IF(N14=0,0,M14*100*I14/N14))</x:f>
        <x:v>1235170.9275792553</x:v>
      </x:c>
      <x:c r="P14" s="28" t="n">
        <x:f>ROUNDDOWN(O14,0)</x:f>
        <x:v>1235170</x:v>
      </x:c>
      <x:c r="Q14" s="28" t="n">
        <x:f>ROUND(O14-P14,10)</x:f>
        <x:v>0.9275792553</x:v>
      </x:c>
      <x:c r="R14" s="10" t="n">
        <x:f>IF(L14=1,0,COUNTIFS($A$5:$A$148,A14,$B$5:$B$148,B14,$L$5:$L$148,0,$Q$5:$Q$148,"&gt;"&amp;Q14)+COUNTIFS($A$5:$A$148,A14,$B$5:$B$148,B14,$L$5:$L$148,0,$Q$5:$Q$148,Q14,$C$5:$C$148,"&lt;"&amp;C14)+1)</x:f>
        <x:v>1</x:v>
      </x:c>
      <x:c r="S14" s="10" t="n">
        <x:f>ROUND(M14*100-SUMIFS($P$5:$P$148,$A$5:$A$148,A14,$B$5:$B$148,B14,$L$5:$L$148,0),0)</x:f>
        <x:v>2</x:v>
      </x:c>
      <x:c r="T14" s="16" t="n">
        <x:f>IF(L14=1,J14,(P14+IF(R14&lt;=S14,1,0))/100)</x:f>
        <x:v>12351.71</x:v>
      </x:c>
      <x:c r="U14" s="30" t="n">
        <x:f>'项目计算'!S7</x:f>
        <x:v>0.2</x:v>
      </x:c>
      <x:c r="V14" s="16" t="n">
        <x:f>ROUND(T14*(1-U14),2)</x:f>
        <x:v>9881.37</x:v>
      </x:c>
      <x:c r="W14" s="16" t="n">
        <x:f>T14-V14</x:f>
        <x:v>2470.3399999999983</x:v>
      </x:c>
    </x:row>
    <x:row r="15" ht="22" customHeight="1">
      <x:c r="A15" s="1" t="str">
        <x:v>V1</x:v>
      </x:c>
      <x:c r="B15" s="1" t="str">
        <x:v>J03</x:v>
      </x:c>
      <x:c r="C15" s="1" t="str">
        <x:v>J03-U009</x:v>
      </x:c>
      <x:c r="D15" s="1" t="str">
        <x:v>U009</x:v>
      </x:c>
      <x:c r="E15" s="23" t="n">
        <x:v>79</x:v>
      </x:c>
      <x:c r="F15" s="23" t="n">
        <x:v>1.1</x:v>
      </x:c>
      <x:c r="G15" s="1" t="n">
        <x:v>94</x:v>
      </x:c>
      <x:c r="H15" s="1" t="n">
        <x:v>1</x:v>
      </x:c>
      <x:c r="I15" s="25" t="n">
        <x:f>E15*F15*G15/100*H15</x:f>
        <x:v>81.686</x:v>
      </x:c>
      <x:c r="J15" s="15"/>
      <x:c r="K15" s="17" t="n">
        <x:f>'项目计算'!R7</x:f>
        <x:v>34615</x:v>
      </x:c>
      <x:c r="L15" s="1" t="n">
        <x:v>0</x:v>
      </x:c>
      <x:c r="M15" s="15" t="n">
        <x:f>K15-SUMIFS($J$5:$J$148,$A$5:$A$148,A15,$B$5:$B$148,B15)</x:f>
        <x:v>34615</x:v>
      </x:c>
      <x:c r="N15" s="27" t="n">
        <x:f>SUMIFS($I$5:$I$148,$A$5:$A$148,A15,$B$5:$B$148,B15,$L$5:$L$148,0)</x:f>
        <x:v>225.695</x:v>
      </x:c>
      <x:c r="O15" s="27" t="n">
        <x:f>IF(L15=1,J15*100,IF(N15=0,0,M15*100*I15/N15))</x:f>
        <x:v>1252823.895079643</x:v>
      </x:c>
      <x:c r="P15" s="27" t="n">
        <x:f>ROUNDDOWN(O15,0)</x:f>
        <x:v>1252823</x:v>
      </x:c>
      <x:c r="Q15" s="27" t="n">
        <x:f>ROUND(O15-P15,10)</x:f>
        <x:v>0.895079643</x:v>
      </x:c>
      <x:c r="R15" s="1" t="n">
        <x:f>IF(L15=1,0,COUNTIFS($A$5:$A$148,A15,$B$5:$B$148,B15,$L$5:$L$148,0,$Q$5:$Q$148,"&gt;"&amp;Q15)+COUNTIFS($A$5:$A$148,A15,$B$5:$B$148,B15,$L$5:$L$148,0,$Q$5:$Q$148,Q15,$C$5:$C$148,"&lt;"&amp;C15)+1)</x:f>
        <x:v>2</x:v>
      </x:c>
      <x:c r="S15" s="1" t="n">
        <x:f>ROUND(M15*100-SUMIFS($P$5:$P$148,$A$5:$A$148,A15,$B$5:$B$148,B15,$L$5:$L$148,0),0)</x:f>
        <x:v>2</x:v>
      </x:c>
      <x:c r="T15" s="15" t="n">
        <x:f>IF(L15=1,J15,(P15+IF(R15&lt;=S15,1,0))/100)</x:f>
        <x:v>12528.24</x:v>
      </x:c>
      <x:c r="U15" s="29" t="n">
        <x:f>'项目计算'!S7</x:f>
        <x:v>0.2</x:v>
      </x:c>
      <x:c r="V15" s="15" t="n">
        <x:f>ROUND(T15*(1-U15),2)</x:f>
        <x:v>10022.59</x:v>
      </x:c>
      <x:c r="W15" s="15" t="n">
        <x:f>T15-V15</x:f>
        <x:v>2505.6499999999996</x:v>
      </x:c>
    </x:row>
    <x:row r="16" ht="22" customHeight="1">
      <x:c r="A16" s="10" t="str">
        <x:v>V1</x:v>
      </x:c>
      <x:c r="B16" s="10" t="str">
        <x:v>J03</x:v>
      </x:c>
      <x:c r="C16" s="10" t="str">
        <x:v>J03-U010</x:v>
      </x:c>
      <x:c r="D16" s="10" t="str">
        <x:v>U010</x:v>
      </x:c>
      <x:c r="E16" s="24" t="n">
        <x:v>136.5</x:v>
      </x:c>
      <x:c r="F16" s="24" t="n">
        <x:v>0.9</x:v>
      </x:c>
      <x:c r="G16" s="10" t="n">
        <x:v>90</x:v>
      </x:c>
      <x:c r="H16" s="10" t="n">
        <x:v>0</x:v>
      </x:c>
      <x:c r="I16" s="26" t="n">
        <x:f>E16*F16*G16/100*H16</x:f>
        <x:v>0</x:v>
      </x:c>
      <x:c r="J16" s="16"/>
      <x:c r="K16" s="18" t="n">
        <x:f>'项目计算'!R7</x:f>
        <x:v>34615</x:v>
      </x:c>
      <x:c r="L16" s="10" t="n">
        <x:v>0</x:v>
      </x:c>
      <x:c r="M16" s="16" t="n">
        <x:f>K16-SUMIFS($J$5:$J$148,$A$5:$A$148,A16,$B$5:$B$148,B16)</x:f>
        <x:v>34615</x:v>
      </x:c>
      <x:c r="N16" s="28" t="n">
        <x:f>SUMIFS($I$5:$I$148,$A$5:$A$148,A16,$B$5:$B$148,B16,$L$5:$L$148,0)</x:f>
        <x:v>225.695</x:v>
      </x:c>
      <x:c r="O16" s="28" t="n">
        <x:f>IF(L16=1,J16*100,IF(N16=0,0,M16*100*I16/N16))</x:f>
        <x:v>0</x:v>
      </x:c>
      <x:c r="P16" s="28" t="n">
        <x:f>ROUNDDOWN(O16,0)</x:f>
        <x:v>0</x:v>
      </x:c>
      <x:c r="Q16" s="28" t="n">
        <x:f>ROUND(O16-P16,10)</x:f>
        <x:v>0</x:v>
      </x:c>
      <x:c r="R16" s="10" t="n">
        <x:f>IF(L16=1,0,COUNTIFS($A$5:$A$148,A16,$B$5:$B$148,B16,$L$5:$L$148,0,$Q$5:$Q$148,"&gt;"&amp;Q16)+COUNTIFS($A$5:$A$148,A16,$B$5:$B$148,B16,$L$5:$L$148,0,$Q$5:$Q$148,Q16,$C$5:$C$148,"&lt;"&amp;C16)+1)</x:f>
        <x:v>4</x:v>
      </x:c>
      <x:c r="S16" s="10" t="n">
        <x:f>ROUND(M16*100-SUMIFS($P$5:$P$148,$A$5:$A$148,A16,$B$5:$B$148,B16,$L$5:$L$148,0),0)</x:f>
        <x:v>2</x:v>
      </x:c>
      <x:c r="T16" s="16" t="n">
        <x:f>IF(L16=1,J16,(P16+IF(R16&lt;=S16,1,0))/100)</x:f>
        <x:v>0</x:v>
      </x:c>
      <x:c r="U16" s="30" t="n">
        <x:f>'项目计算'!S7</x:f>
        <x:v>0.2</x:v>
      </x:c>
      <x:c r="V16" s="16" t="n">
        <x:f>ROUND(T16*(1-U16),2)</x:f>
        <x:v>0</x:v>
      </x:c>
      <x:c r="W16" s="16" t="n">
        <x:f>T16-V16</x:f>
        <x:v>0</x:v>
      </x:c>
    </x:row>
    <x:row r="17" ht="22" customHeight="1">
      <x:c r="A17" s="1" t="str">
        <x:v>V1</x:v>
      </x:c>
      <x:c r="B17" s="1" t="str">
        <x:v>J04</x:v>
      </x:c>
      <x:c r="C17" s="1" t="str">
        <x:v>J04-U010</x:v>
      </x:c>
      <x:c r="D17" s="1" t="str">
        <x:v>U010</x:v>
      </x:c>
      <x:c r="E17" s="23" t="n">
        <x:v>124.5</x:v>
      </x:c>
      <x:c r="F17" s="23" t="n">
        <x:v>1.2</x:v>
      </x:c>
      <x:c r="G17" s="1" t="n">
        <x:v>91</x:v>
      </x:c>
      <x:c r="H17" s="1" t="n">
        <x:v>1</x:v>
      </x:c>
      <x:c r="I17" s="25" t="n">
        <x:f>E17*F17*G17/100*H17</x:f>
        <x:v>135.954</x:v>
      </x:c>
      <x:c r="J17" s="15"/>
      <x:c r="K17" s="17" t="n">
        <x:f>'项目计算'!R8</x:f>
        <x:v>0</x:v>
      </x:c>
      <x:c r="L17" s="1" t="n">
        <x:v>0</x:v>
      </x:c>
      <x:c r="M17" s="15" t="n">
        <x:f>K17-SUMIFS($J$5:$J$148,$A$5:$A$148,A17,$B$5:$B$148,B17)</x:f>
        <x:v>0</x:v>
      </x:c>
      <x:c r="N17" s="27" t="n">
        <x:f>SUMIFS($I$5:$I$148,$A$5:$A$148,A17,$B$5:$B$148,B17,$L$5:$L$148,0)</x:f>
        <x:v>439.793</x:v>
      </x:c>
      <x:c r="O17" s="27" t="n">
        <x:f>IF(L17=1,J17*100,IF(N17=0,0,M17*100*I17/N17))</x:f>
        <x:v>0</x:v>
      </x:c>
      <x:c r="P17" s="27" t="n">
        <x:f>ROUNDDOWN(O17,0)</x:f>
        <x:v>0</x:v>
      </x:c>
      <x:c r="Q17" s="27" t="n">
        <x:f>ROUND(O17-P17,10)</x:f>
        <x:v>0</x:v>
      </x:c>
      <x:c r="R17" s="1" t="n">
        <x:f>IF(L17=1,0,COUNTIFS($A$5:$A$148,A17,$B$5:$B$148,B17,$L$5:$L$148,0,$Q$5:$Q$148,"&gt;"&amp;Q17)+COUNTIFS($A$5:$A$148,A17,$B$5:$B$148,B17,$L$5:$L$148,0,$Q$5:$Q$148,Q17,$C$5:$C$148,"&lt;"&amp;C17)+1)</x:f>
        <x:v>1</x:v>
      </x:c>
      <x:c r="S17" s="1" t="n">
        <x:f>ROUND(M17*100-SUMIFS($P$5:$P$148,$A$5:$A$148,A17,$B$5:$B$148,B17,$L$5:$L$148,0),0)</x:f>
        <x:v>0</x:v>
      </x:c>
      <x:c r="T17" s="15" t="n">
        <x:f>IF(L17=1,J17,(P17+IF(R17&lt;=S17,1,0))/100)</x:f>
        <x:v>0</x:v>
      </x:c>
      <x:c r="U17" s="29" t="n">
        <x:f>'项目计算'!S8</x:f>
        <x:v>0</x:v>
      </x:c>
      <x:c r="V17" s="15" t="n">
        <x:f>ROUND(T17*(1-U17),2)</x:f>
        <x:v>0</x:v>
      </x:c>
      <x:c r="W17" s="15" t="n">
        <x:f>T17-V17</x:f>
        <x:v>0</x:v>
      </x:c>
    </x:row>
    <x:row r="18" ht="22" customHeight="1">
      <x:c r="A18" s="10" t="str">
        <x:v>V1</x:v>
      </x:c>
      <x:c r="B18" s="10" t="str">
        <x:v>J04</x:v>
      </x:c>
      <x:c r="C18" s="10" t="str">
        <x:v>J04-U011</x:v>
      </x:c>
      <x:c r="D18" s="10" t="str">
        <x:v>U011</x:v>
      </x:c>
      <x:c r="E18" s="24" t="n">
        <x:v>134.5</x:v>
      </x:c>
      <x:c r="F18" s="24" t="n">
        <x:v>1</x:v>
      </x:c>
      <x:c r="G18" s="10" t="n">
        <x:v>98</x:v>
      </x:c>
      <x:c r="H18" s="10" t="n">
        <x:v>1</x:v>
      </x:c>
      <x:c r="I18" s="26" t="n">
        <x:f>E18*F18*G18/100*H18</x:f>
        <x:v>131.81</x:v>
      </x:c>
      <x:c r="J18" s="16"/>
      <x:c r="K18" s="18" t="n">
        <x:f>'项目计算'!R8</x:f>
        <x:v>0</x:v>
      </x:c>
      <x:c r="L18" s="10" t="n">
        <x:v>0</x:v>
      </x:c>
      <x:c r="M18" s="16" t="n">
        <x:f>K18-SUMIFS($J$5:$J$148,$A$5:$A$148,A18,$B$5:$B$148,B18)</x:f>
        <x:v>0</x:v>
      </x:c>
      <x:c r="N18" s="28" t="n">
        <x:f>SUMIFS($I$5:$I$148,$A$5:$A$148,A18,$B$5:$B$148,B18,$L$5:$L$148,0)</x:f>
        <x:v>439.793</x:v>
      </x:c>
      <x:c r="O18" s="28" t="n">
        <x:f>IF(L18=1,J18*100,IF(N18=0,0,M18*100*I18/N18))</x:f>
        <x:v>0</x:v>
      </x:c>
      <x:c r="P18" s="28" t="n">
        <x:f>ROUNDDOWN(O18,0)</x:f>
        <x:v>0</x:v>
      </x:c>
      <x:c r="Q18" s="28" t="n">
        <x:f>ROUND(O18-P18,10)</x:f>
        <x:v>0</x:v>
      </x:c>
      <x:c r="R18" s="10" t="n">
        <x:f>IF(L18=1,0,COUNTIFS($A$5:$A$148,A18,$B$5:$B$148,B18,$L$5:$L$148,0,$Q$5:$Q$148,"&gt;"&amp;Q18)+COUNTIFS($A$5:$A$148,A18,$B$5:$B$148,B18,$L$5:$L$148,0,$Q$5:$Q$148,Q18,$C$5:$C$148,"&lt;"&amp;C18)+1)</x:f>
        <x:v>2</x:v>
      </x:c>
      <x:c r="S18" s="10" t="n">
        <x:f>ROUND(M18*100-SUMIFS($P$5:$P$148,$A$5:$A$148,A18,$B$5:$B$148,B18,$L$5:$L$148,0),0)</x:f>
        <x:v>0</x:v>
      </x:c>
      <x:c r="T18" s="16" t="n">
        <x:f>IF(L18=1,J18,(P18+IF(R18&lt;=S18,1,0))/100)</x:f>
        <x:v>0</x:v>
      </x:c>
      <x:c r="U18" s="30" t="n">
        <x:f>'项目计算'!S8</x:f>
        <x:v>0</x:v>
      </x:c>
      <x:c r="V18" s="16" t="n">
        <x:f>ROUND(T18*(1-U18),2)</x:f>
        <x:v>0</x:v>
      </x:c>
      <x:c r="W18" s="16" t="n">
        <x:f>T18-V18</x:f>
        <x:v>0</x:v>
      </x:c>
    </x:row>
    <x:row r="19" ht="22" customHeight="1">
      <x:c r="A19" s="1" t="str">
        <x:v>V1</x:v>
      </x:c>
      <x:c r="B19" s="1" t="str">
        <x:v>J04</x:v>
      </x:c>
      <x:c r="C19" s="1" t="str">
        <x:v>J04-U012</x:v>
      </x:c>
      <x:c r="D19" s="1" t="str">
        <x:v>U012</x:v>
      </x:c>
      <x:c r="E19" s="23" t="n">
        <x:v>61</x:v>
      </x:c>
      <x:c r="F19" s="23" t="n">
        <x:v>1.1</x:v>
      </x:c>
      <x:c r="G19" s="1" t="n">
        <x:v>87</x:v>
      </x:c>
      <x:c r="H19" s="1" t="n">
        <x:v>1</x:v>
      </x:c>
      <x:c r="I19" s="25" t="n">
        <x:f>E19*F19*G19/100*H19</x:f>
        <x:v>58.37700000000001</x:v>
      </x:c>
      <x:c r="J19" s="15"/>
      <x:c r="K19" s="17" t="n">
        <x:f>'项目计算'!R8</x:f>
        <x:v>0</x:v>
      </x:c>
      <x:c r="L19" s="1" t="n">
        <x:v>0</x:v>
      </x:c>
      <x:c r="M19" s="15" t="n">
        <x:f>K19-SUMIFS($J$5:$J$148,$A$5:$A$148,A19,$B$5:$B$148,B19)</x:f>
        <x:v>0</x:v>
      </x:c>
      <x:c r="N19" s="27" t="n">
        <x:f>SUMIFS($I$5:$I$148,$A$5:$A$148,A19,$B$5:$B$148,B19,$L$5:$L$148,0)</x:f>
        <x:v>439.793</x:v>
      </x:c>
      <x:c r="O19" s="27" t="n">
        <x:f>IF(L19=1,J19*100,IF(N19=0,0,M19*100*I19/N19))</x:f>
        <x:v>0</x:v>
      </x:c>
      <x:c r="P19" s="27" t="n">
        <x:f>ROUNDDOWN(O19,0)</x:f>
        <x:v>0</x:v>
      </x:c>
      <x:c r="Q19" s="27" t="n">
        <x:f>ROUND(O19-P19,10)</x:f>
        <x:v>0</x:v>
      </x:c>
      <x:c r="R19" s="1" t="n">
        <x:f>IF(L19=1,0,COUNTIFS($A$5:$A$148,A19,$B$5:$B$148,B19,$L$5:$L$148,0,$Q$5:$Q$148,"&gt;"&amp;Q19)+COUNTIFS($A$5:$A$148,A19,$B$5:$B$148,B19,$L$5:$L$148,0,$Q$5:$Q$148,Q19,$C$5:$C$148,"&lt;"&amp;C19)+1)</x:f>
        <x:v>3</x:v>
      </x:c>
      <x:c r="S19" s="1" t="n">
        <x:f>ROUND(M19*100-SUMIFS($P$5:$P$148,$A$5:$A$148,A19,$B$5:$B$148,B19,$L$5:$L$148,0),0)</x:f>
        <x:v>0</x:v>
      </x:c>
      <x:c r="T19" s="15" t="n">
        <x:f>IF(L19=1,J19,(P19+IF(R19&lt;=S19,1,0))/100)</x:f>
        <x:v>0</x:v>
      </x:c>
      <x:c r="U19" s="29" t="n">
        <x:f>'项目计算'!S8</x:f>
        <x:v>0</x:v>
      </x:c>
      <x:c r="V19" s="15" t="n">
        <x:f>ROUND(T19*(1-U19),2)</x:f>
        <x:v>0</x:v>
      </x:c>
      <x:c r="W19" s="15" t="n">
        <x:f>T19-V19</x:f>
        <x:v>0</x:v>
      </x:c>
    </x:row>
    <x:row r="20" ht="22" customHeight="1">
      <x:c r="A20" s="10" t="str">
        <x:v>V1</x:v>
      </x:c>
      <x:c r="B20" s="10" t="str">
        <x:v>J04</x:v>
      </x:c>
      <x:c r="C20" s="10" t="str">
        <x:v>J04-U013</x:v>
      </x:c>
      <x:c r="D20" s="10" t="str">
        <x:v>U013</x:v>
      </x:c>
      <x:c r="E20" s="24" t="n">
        <x:v>143.5</x:v>
      </x:c>
      <x:c r="F20" s="24" t="n">
        <x:v>0.9</x:v>
      </x:c>
      <x:c r="G20" s="10" t="n">
        <x:v>88</x:v>
      </x:c>
      <x:c r="H20" s="10" t="n">
        <x:v>1</x:v>
      </x:c>
      <x:c r="I20" s="26" t="n">
        <x:f>E20*F20*G20/100*H20</x:f>
        <x:v>113.652</x:v>
      </x:c>
      <x:c r="J20" s="16"/>
      <x:c r="K20" s="18" t="n">
        <x:f>'项目计算'!R8</x:f>
        <x:v>0</x:v>
      </x:c>
      <x:c r="L20" s="10" t="n">
        <x:v>0</x:v>
      </x:c>
      <x:c r="M20" s="16" t="n">
        <x:f>K20-SUMIFS($J$5:$J$148,$A$5:$A$148,A20,$B$5:$B$148,B20)</x:f>
        <x:v>0</x:v>
      </x:c>
      <x:c r="N20" s="28" t="n">
        <x:f>SUMIFS($I$5:$I$148,$A$5:$A$148,A20,$B$5:$B$148,B20,$L$5:$L$148,0)</x:f>
        <x:v>439.793</x:v>
      </x:c>
      <x:c r="O20" s="28" t="n">
        <x:f>IF(L20=1,J20*100,IF(N20=0,0,M20*100*I20/N20))</x:f>
        <x:v>0</x:v>
      </x:c>
      <x:c r="P20" s="28" t="n">
        <x:f>ROUNDDOWN(O20,0)</x:f>
        <x:v>0</x:v>
      </x:c>
      <x:c r="Q20" s="28" t="n">
        <x:f>ROUND(O20-P20,10)</x:f>
        <x:v>0</x:v>
      </x:c>
      <x:c r="R20" s="10" t="n">
        <x:f>IF(L20=1,0,COUNTIFS($A$5:$A$148,A20,$B$5:$B$148,B20,$L$5:$L$148,0,$Q$5:$Q$148,"&gt;"&amp;Q20)+COUNTIFS($A$5:$A$148,A20,$B$5:$B$148,B20,$L$5:$L$148,0,$Q$5:$Q$148,Q20,$C$5:$C$148,"&lt;"&amp;C20)+1)</x:f>
        <x:v>4</x:v>
      </x:c>
      <x:c r="S20" s="10" t="n">
        <x:f>ROUND(M20*100-SUMIFS($P$5:$P$148,$A$5:$A$148,A20,$B$5:$B$148,B20,$L$5:$L$148,0),0)</x:f>
        <x:v>0</x:v>
      </x:c>
      <x:c r="T20" s="16" t="n">
        <x:f>IF(L20=1,J20,(P20+IF(R20&lt;=S20,1,0))/100)</x:f>
        <x:v>0</x:v>
      </x:c>
      <x:c r="U20" s="30" t="n">
        <x:f>'项目计算'!S8</x:f>
        <x:v>0</x:v>
      </x:c>
      <x:c r="V20" s="16" t="n">
        <x:f>ROUND(T20*(1-U20),2)</x:f>
        <x:v>0</x:v>
      </x:c>
      <x:c r="W20" s="16" t="n">
        <x:f>T20-V20</x:f>
        <x:v>0</x:v>
      </x:c>
    </x:row>
    <x:row r="21" ht="22" customHeight="1">
      <x:c r="A21" s="1" t="str">
        <x:v>V1</x:v>
      </x:c>
      <x:c r="B21" s="1" t="str">
        <x:v>J05</x:v>
      </x:c>
      <x:c r="C21" s="1" t="str">
        <x:v>J05-U013</x:v>
      </x:c>
      <x:c r="D21" s="1" t="str">
        <x:v>U013</x:v>
      </x:c>
      <x:c r="E21" s="23" t="n">
        <x:v>119.5</x:v>
      </x:c>
      <x:c r="F21" s="23" t="n">
        <x:v>1.2</x:v>
      </x:c>
      <x:c r="G21" s="1" t="n">
        <x:v>83</x:v>
      </x:c>
      <x:c r="H21" s="1" t="n">
        <x:v>1</x:v>
      </x:c>
      <x:c r="I21" s="25" t="n">
        <x:f>E21*F21*G21/100*H21</x:f>
        <x:v>119.022</x:v>
      </x:c>
      <x:c r="J21" s="15"/>
      <x:c r="K21" s="17" t="n">
        <x:f>'项目计算'!R9</x:f>
        <x:v>0</x:v>
      </x:c>
      <x:c r="L21" s="1" t="n">
        <x:v>0</x:v>
      </x:c>
      <x:c r="M21" s="15" t="n">
        <x:f>K21-SUMIFS($J$5:$J$148,$A$5:$A$148,A21,$B$5:$B$148,B21)</x:f>
        <x:v>0</x:v>
      </x:c>
      <x:c r="N21" s="27" t="n">
        <x:f>SUMIFS($I$5:$I$148,$A$5:$A$148,A21,$B$5:$B$148,B21,$L$5:$L$148,0)</x:f>
        <x:v>380.947</x:v>
      </x:c>
      <x:c r="O21" s="27" t="n">
        <x:f>IF(L21=1,J21*100,IF(N21=0,0,M21*100*I21/N21))</x:f>
        <x:v>0</x:v>
      </x:c>
      <x:c r="P21" s="27" t="n">
        <x:f>ROUNDDOWN(O21,0)</x:f>
        <x:v>0</x:v>
      </x:c>
      <x:c r="Q21" s="27" t="n">
        <x:f>ROUND(O21-P21,10)</x:f>
        <x:v>0</x:v>
      </x:c>
      <x:c r="R21" s="1" t="n">
        <x:f>IF(L21=1,0,COUNTIFS($A$5:$A$148,A21,$B$5:$B$148,B21,$L$5:$L$148,0,$Q$5:$Q$148,"&gt;"&amp;Q21)+COUNTIFS($A$5:$A$148,A21,$B$5:$B$148,B21,$L$5:$L$148,0,$Q$5:$Q$148,Q21,$C$5:$C$148,"&lt;"&amp;C21)+1)</x:f>
        <x:v>1</x:v>
      </x:c>
      <x:c r="S21" s="1" t="n">
        <x:f>ROUND(M21*100-SUMIFS($P$5:$P$148,$A$5:$A$148,A21,$B$5:$B$148,B21,$L$5:$L$148,0),0)</x:f>
        <x:v>0</x:v>
      </x:c>
      <x:c r="T21" s="15" t="n">
        <x:f>IF(L21=1,J21,(P21+IF(R21&lt;=S21,1,0))/100)</x:f>
        <x:v>0</x:v>
      </x:c>
      <x:c r="U21" s="29" t="n">
        <x:f>'项目计算'!S9</x:f>
        <x:v>0.2</x:v>
      </x:c>
      <x:c r="V21" s="15" t="n">
        <x:f>ROUND(T21*(1-U21),2)</x:f>
        <x:v>0</x:v>
      </x:c>
      <x:c r="W21" s="15" t="n">
        <x:f>T21-V21</x:f>
        <x:v>0</x:v>
      </x:c>
    </x:row>
    <x:row r="22" ht="22" customHeight="1">
      <x:c r="A22" s="10" t="str">
        <x:v>V1</x:v>
      </x:c>
      <x:c r="B22" s="10" t="str">
        <x:v>J05</x:v>
      </x:c>
      <x:c r="C22" s="10" t="str">
        <x:v>J05-U014</x:v>
      </x:c>
      <x:c r="D22" s="10" t="str">
        <x:v>U014</x:v>
      </x:c>
      <x:c r="E22" s="24" t="n">
        <x:v>110.5</x:v>
      </x:c>
      <x:c r="F22" s="24" t="n">
        <x:v>1</x:v>
      </x:c>
      <x:c r="G22" s="10" t="n">
        <x:v>80</x:v>
      </x:c>
      <x:c r="H22" s="10" t="n">
        <x:v>1</x:v>
      </x:c>
      <x:c r="I22" s="26" t="n">
        <x:f>E22*F22*G22/100*H22</x:f>
        <x:v>88.4</x:v>
      </x:c>
      <x:c r="J22" s="16"/>
      <x:c r="K22" s="18" t="n">
        <x:f>'项目计算'!R9</x:f>
        <x:v>0</x:v>
      </x:c>
      <x:c r="L22" s="10" t="n">
        <x:v>0</x:v>
      </x:c>
      <x:c r="M22" s="16" t="n">
        <x:f>K22-SUMIFS($J$5:$J$148,$A$5:$A$148,A22,$B$5:$B$148,B22)</x:f>
        <x:v>0</x:v>
      </x:c>
      <x:c r="N22" s="28" t="n">
        <x:f>SUMIFS($I$5:$I$148,$A$5:$A$148,A22,$B$5:$B$148,B22,$L$5:$L$148,0)</x:f>
        <x:v>380.947</x:v>
      </x:c>
      <x:c r="O22" s="28" t="n">
        <x:f>IF(L22=1,J22*100,IF(N22=0,0,M22*100*I22/N22))</x:f>
        <x:v>0</x:v>
      </x:c>
      <x:c r="P22" s="28" t="n">
        <x:f>ROUNDDOWN(O22,0)</x:f>
        <x:v>0</x:v>
      </x:c>
      <x:c r="Q22" s="28" t="n">
        <x:f>ROUND(O22-P22,10)</x:f>
        <x:v>0</x:v>
      </x:c>
      <x:c r="R22" s="10" t="n">
        <x:f>IF(L22=1,0,COUNTIFS($A$5:$A$148,A22,$B$5:$B$148,B22,$L$5:$L$148,0,$Q$5:$Q$148,"&gt;"&amp;Q22)+COUNTIFS($A$5:$A$148,A22,$B$5:$B$148,B22,$L$5:$L$148,0,$Q$5:$Q$148,Q22,$C$5:$C$148,"&lt;"&amp;C22)+1)</x:f>
        <x:v>2</x:v>
      </x:c>
      <x:c r="S22" s="10" t="n">
        <x:f>ROUND(M22*100-SUMIFS($P$5:$P$148,$A$5:$A$148,A22,$B$5:$B$148,B22,$L$5:$L$148,0),0)</x:f>
        <x:v>0</x:v>
      </x:c>
      <x:c r="T22" s="16" t="n">
        <x:f>IF(L22=1,J22,(P22+IF(R22&lt;=S22,1,0))/100)</x:f>
        <x:v>0</x:v>
      </x:c>
      <x:c r="U22" s="30" t="n">
        <x:f>'项目计算'!S9</x:f>
        <x:v>0.2</x:v>
      </x:c>
      <x:c r="V22" s="16" t="n">
        <x:f>ROUND(T22*(1-U22),2)</x:f>
        <x:v>0</x:v>
      </x:c>
      <x:c r="W22" s="16" t="n">
        <x:f>T22-V22</x:f>
        <x:v>0</x:v>
      </x:c>
    </x:row>
    <x:row r="23" ht="22" customHeight="1">
      <x:c r="A23" s="1" t="str">
        <x:v>V1</x:v>
      </x:c>
      <x:c r="B23" s="1" t="str">
        <x:v>J05</x:v>
      </x:c>
      <x:c r="C23" s="1" t="str">
        <x:v>J05-U015</x:v>
      </x:c>
      <x:c r="D23" s="1" t="str">
        <x:v>U015</x:v>
      </x:c>
      <x:c r="E23" s="23" t="n">
        <x:v>91</x:v>
      </x:c>
      <x:c r="F23" s="23" t="n">
        <x:v>1.1</x:v>
      </x:c>
      <x:c r="G23" s="1" t="n">
        <x:v>97</x:v>
      </x:c>
      <x:c r="H23" s="1" t="n">
        <x:v>1</x:v>
      </x:c>
      <x:c r="I23" s="25" t="n">
        <x:f>E23*F23*G23/100*H23</x:f>
        <x:v>97.09700000000001</x:v>
      </x:c>
      <x:c r="J23" s="15"/>
      <x:c r="K23" s="17" t="n">
        <x:f>'项目计算'!R9</x:f>
        <x:v>0</x:v>
      </x:c>
      <x:c r="L23" s="1" t="n">
        <x:v>0</x:v>
      </x:c>
      <x:c r="M23" s="15" t="n">
        <x:f>K23-SUMIFS($J$5:$J$148,$A$5:$A$148,A23,$B$5:$B$148,B23)</x:f>
        <x:v>0</x:v>
      </x:c>
      <x:c r="N23" s="27" t="n">
        <x:f>SUMIFS($I$5:$I$148,$A$5:$A$148,A23,$B$5:$B$148,B23,$L$5:$L$148,0)</x:f>
        <x:v>380.947</x:v>
      </x:c>
      <x:c r="O23" s="27" t="n">
        <x:f>IF(L23=1,J23*100,IF(N23=0,0,M23*100*I23/N23))</x:f>
        <x:v>0</x:v>
      </x:c>
      <x:c r="P23" s="27" t="n">
        <x:f>ROUNDDOWN(O23,0)</x:f>
        <x:v>0</x:v>
      </x:c>
      <x:c r="Q23" s="27" t="n">
        <x:f>ROUND(O23-P23,10)</x:f>
        <x:v>0</x:v>
      </x:c>
      <x:c r="R23" s="1" t="n">
        <x:f>IF(L23=1,0,COUNTIFS($A$5:$A$148,A23,$B$5:$B$148,B23,$L$5:$L$148,0,$Q$5:$Q$148,"&gt;"&amp;Q23)+COUNTIFS($A$5:$A$148,A23,$B$5:$B$148,B23,$L$5:$L$148,0,$Q$5:$Q$148,Q23,$C$5:$C$148,"&lt;"&amp;C23)+1)</x:f>
        <x:v>3</x:v>
      </x:c>
      <x:c r="S23" s="1" t="n">
        <x:f>ROUND(M23*100-SUMIFS($P$5:$P$148,$A$5:$A$148,A23,$B$5:$B$148,B23,$L$5:$L$148,0),0)</x:f>
        <x:v>0</x:v>
      </x:c>
      <x:c r="T23" s="15" t="n">
        <x:f>IF(L23=1,J23,(P23+IF(R23&lt;=S23,1,0))/100)</x:f>
        <x:v>0</x:v>
      </x:c>
      <x:c r="U23" s="29" t="n">
        <x:f>'项目计算'!S9</x:f>
        <x:v>0.2</x:v>
      </x:c>
      <x:c r="V23" s="15" t="n">
        <x:f>ROUND(T23*(1-U23),2)</x:f>
        <x:v>0</x:v>
      </x:c>
      <x:c r="W23" s="15" t="n">
        <x:f>T23-V23</x:f>
        <x:v>0</x:v>
      </x:c>
    </x:row>
    <x:row r="24" ht="22" customHeight="1">
      <x:c r="A24" s="10" t="str">
        <x:v>V1</x:v>
      </x:c>
      <x:c r="B24" s="10" t="str">
        <x:v>J05</x:v>
      </x:c>
      <x:c r="C24" s="10" t="str">
        <x:v>J05-U016</x:v>
      </x:c>
      <x:c r="D24" s="10" t="str">
        <x:v>U016</x:v>
      </x:c>
      <x:c r="E24" s="24" t="n">
        <x:v>96.5</x:v>
      </x:c>
      <x:c r="F24" s="24" t="n">
        <x:v>0.9</x:v>
      </x:c>
      <x:c r="G24" s="10" t="n">
        <x:v>88</x:v>
      </x:c>
      <x:c r="H24" s="10" t="n">
        <x:v>1</x:v>
      </x:c>
      <x:c r="I24" s="26" t="n">
        <x:f>E24*F24*G24/100*H24</x:f>
        <x:v>76.42800000000001</x:v>
      </x:c>
      <x:c r="J24" s="16"/>
      <x:c r="K24" s="18" t="n">
        <x:f>'项目计算'!R9</x:f>
        <x:v>0</x:v>
      </x:c>
      <x:c r="L24" s="10" t="n">
        <x:v>0</x:v>
      </x:c>
      <x:c r="M24" s="16" t="n">
        <x:f>K24-SUMIFS($J$5:$J$148,$A$5:$A$148,A24,$B$5:$B$148,B24)</x:f>
        <x:v>0</x:v>
      </x:c>
      <x:c r="N24" s="28" t="n">
        <x:f>SUMIFS($I$5:$I$148,$A$5:$A$148,A24,$B$5:$B$148,B24,$L$5:$L$148,0)</x:f>
        <x:v>380.947</x:v>
      </x:c>
      <x:c r="O24" s="28" t="n">
        <x:f>IF(L24=1,J24*100,IF(N24=0,0,M24*100*I24/N24))</x:f>
        <x:v>0</x:v>
      </x:c>
      <x:c r="P24" s="28" t="n">
        <x:f>ROUNDDOWN(O24,0)</x:f>
        <x:v>0</x:v>
      </x:c>
      <x:c r="Q24" s="28" t="n">
        <x:f>ROUND(O24-P24,10)</x:f>
        <x:v>0</x:v>
      </x:c>
      <x:c r="R24" s="10" t="n">
        <x:f>IF(L24=1,0,COUNTIFS($A$5:$A$148,A24,$B$5:$B$148,B24,$L$5:$L$148,0,$Q$5:$Q$148,"&gt;"&amp;Q24)+COUNTIFS($A$5:$A$148,A24,$B$5:$B$148,B24,$L$5:$L$148,0,$Q$5:$Q$148,Q24,$C$5:$C$148,"&lt;"&amp;C24)+1)</x:f>
        <x:v>4</x:v>
      </x:c>
      <x:c r="S24" s="10" t="n">
        <x:f>ROUND(M24*100-SUMIFS($P$5:$P$148,$A$5:$A$148,A24,$B$5:$B$148,B24,$L$5:$L$148,0),0)</x:f>
        <x:v>0</x:v>
      </x:c>
      <x:c r="T24" s="16" t="n">
        <x:f>IF(L24=1,J24,(P24+IF(R24&lt;=S24,1,0))/100)</x:f>
        <x:v>0</x:v>
      </x:c>
      <x:c r="U24" s="30" t="n">
        <x:f>'项目计算'!S9</x:f>
        <x:v>0.2</x:v>
      </x:c>
      <x:c r="V24" s="16" t="n">
        <x:f>ROUND(T24*(1-U24),2)</x:f>
        <x:v>0</x:v>
      </x:c>
      <x:c r="W24" s="16" t="n">
        <x:f>T24-V24</x:f>
        <x:v>0</x:v>
      </x:c>
    </x:row>
    <x:row r="25" ht="22" customHeight="1">
      <x:c r="A25" s="1" t="str">
        <x:v>V1</x:v>
      </x:c>
      <x:c r="B25" s="1" t="str">
        <x:v>J06</x:v>
      </x:c>
      <x:c r="C25" s="1" t="str">
        <x:v>J06-U016</x:v>
      </x:c>
      <x:c r="D25" s="1" t="str">
        <x:v>U016</x:v>
      </x:c>
      <x:c r="E25" s="23" t="n">
        <x:v>119.5</x:v>
      </x:c>
      <x:c r="F25" s="23" t="n">
        <x:v>1.2</x:v>
      </x:c>
      <x:c r="G25" s="1" t="n">
        <x:v>87</x:v>
      </x:c>
      <x:c r="H25" s="1" t="n">
        <x:v>1</x:v>
      </x:c>
      <x:c r="I25" s="25" t="n">
        <x:f>E25*F25*G25/100*H25</x:f>
        <x:v>124.75800000000001</x:v>
      </x:c>
      <x:c r="J25" s="15"/>
      <x:c r="K25" s="17" t="n">
        <x:f>'项目计算'!R10</x:f>
        <x:v>0</x:v>
      </x:c>
      <x:c r="L25" s="1" t="n">
        <x:v>0</x:v>
      </x:c>
      <x:c r="M25" s="15" t="n">
        <x:f>K25-SUMIFS($J$5:$J$148,$A$5:$A$148,A25,$B$5:$B$148,B25)</x:f>
        <x:v>0</x:v>
      </x:c>
      <x:c r="N25" s="27" t="n">
        <x:f>SUMIFS($I$5:$I$148,$A$5:$A$148,A25,$B$5:$B$148,B25,$L$5:$L$148,0)</x:f>
        <x:v>283.45050000000003</x:v>
      </x:c>
      <x:c r="O25" s="27" t="n">
        <x:f>IF(L25=1,J25*100,IF(N25=0,0,M25*100*I25/N25))</x:f>
        <x:v>0</x:v>
      </x:c>
      <x:c r="P25" s="27" t="n">
        <x:f>ROUNDDOWN(O25,0)</x:f>
        <x:v>0</x:v>
      </x:c>
      <x:c r="Q25" s="27" t="n">
        <x:f>ROUND(O25-P25,10)</x:f>
        <x:v>0</x:v>
      </x:c>
      <x:c r="R25" s="1" t="n">
        <x:f>IF(L25=1,0,COUNTIFS($A$5:$A$148,A25,$B$5:$B$148,B25,$L$5:$L$148,0,$Q$5:$Q$148,"&gt;"&amp;Q25)+COUNTIFS($A$5:$A$148,A25,$B$5:$B$148,B25,$L$5:$L$148,0,$Q$5:$Q$148,Q25,$C$5:$C$148,"&lt;"&amp;C25)+1)</x:f>
        <x:v>2</x:v>
      </x:c>
      <x:c r="S25" s="1" t="n">
        <x:f>ROUND(M25*100-SUMIFS($P$5:$P$148,$A$5:$A$148,A25,$B$5:$B$148,B25,$L$5:$L$148,0),0)</x:f>
        <x:v>0</x:v>
      </x:c>
      <x:c r="T25" s="15" t="n">
        <x:f>IF(L25=1,J25,(P25+IF(R25&lt;=S25,1,0))/100)</x:f>
        <x:v>0</x:v>
      </x:c>
      <x:c r="U25" s="29" t="n">
        <x:f>'项目计算'!S10</x:f>
        <x:v>0.2</x:v>
      </x:c>
      <x:c r="V25" s="15" t="n">
        <x:f>ROUND(T25*(1-U25),2)</x:f>
        <x:v>0</x:v>
      </x:c>
      <x:c r="W25" s="15" t="n">
        <x:f>T25-V25</x:f>
        <x:v>0</x:v>
      </x:c>
    </x:row>
    <x:row r="26" ht="22" customHeight="1">
      <x:c r="A26" s="10" t="str">
        <x:v>V1</x:v>
      </x:c>
      <x:c r="B26" s="10" t="str">
        <x:v>J06</x:v>
      </x:c>
      <x:c r="C26" s="10" t="str">
        <x:v>J06-U017</x:v>
      </x:c>
      <x:c r="D26" s="10" t="str">
        <x:v>U017</x:v>
      </x:c>
      <x:c r="E26" s="24" t="n">
        <x:v>83.5</x:v>
      </x:c>
      <x:c r="F26" s="24" t="n">
        <x:v>1</x:v>
      </x:c>
      <x:c r="G26" s="10" t="n">
        <x:v>81</x:v>
      </x:c>
      <x:c r="H26" s="10" t="n">
        <x:v>1</x:v>
      </x:c>
      <x:c r="I26" s="26" t="n">
        <x:f>E26*F26*G26/100*H26</x:f>
        <x:v>67.635</x:v>
      </x:c>
      <x:c r="J26" s="16"/>
      <x:c r="K26" s="18" t="n">
        <x:f>'项目计算'!R10</x:f>
        <x:v>0</x:v>
      </x:c>
      <x:c r="L26" s="10" t="n">
        <x:v>0</x:v>
      </x:c>
      <x:c r="M26" s="16" t="n">
        <x:f>K26-SUMIFS($J$5:$J$148,$A$5:$A$148,A26,$B$5:$B$148,B26)</x:f>
        <x:v>0</x:v>
      </x:c>
      <x:c r="N26" s="28" t="n">
        <x:f>SUMIFS($I$5:$I$148,$A$5:$A$148,A26,$B$5:$B$148,B26,$L$5:$L$148,0)</x:f>
        <x:v>283.45050000000003</x:v>
      </x:c>
      <x:c r="O26" s="28" t="n">
        <x:f>IF(L26=1,J26*100,IF(N26=0,0,M26*100*I26/N26))</x:f>
        <x:v>0</x:v>
      </x:c>
      <x:c r="P26" s="28" t="n">
        <x:f>ROUNDDOWN(O26,0)</x:f>
        <x:v>0</x:v>
      </x:c>
      <x:c r="Q26" s="28" t="n">
        <x:f>ROUND(O26-P26,10)</x:f>
        <x:v>0</x:v>
      </x:c>
      <x:c r="R26" s="10" t="n">
        <x:f>IF(L26=1,0,COUNTIFS($A$5:$A$148,A26,$B$5:$B$148,B26,$L$5:$L$148,0,$Q$5:$Q$148,"&gt;"&amp;Q26)+COUNTIFS($A$5:$A$148,A26,$B$5:$B$148,B26,$L$5:$L$148,0,$Q$5:$Q$148,Q26,$C$5:$C$148,"&lt;"&amp;C26)+1)</x:f>
        <x:v>3</x:v>
      </x:c>
      <x:c r="S26" s="10" t="n">
        <x:f>ROUND(M26*100-SUMIFS($P$5:$P$148,$A$5:$A$148,A26,$B$5:$B$148,B26,$L$5:$L$148,0),0)</x:f>
        <x:v>0</x:v>
      </x:c>
      <x:c r="T26" s="16" t="n">
        <x:f>IF(L26=1,J26,(P26+IF(R26&lt;=S26,1,0))/100)</x:f>
        <x:v>0</x:v>
      </x:c>
      <x:c r="U26" s="30" t="n">
        <x:f>'项目计算'!S10</x:f>
        <x:v>0.2</x:v>
      </x:c>
      <x:c r="V26" s="16" t="n">
        <x:f>ROUND(T26*(1-U26),2)</x:f>
        <x:v>0</x:v>
      </x:c>
      <x:c r="W26" s="16" t="n">
        <x:f>T26-V26</x:f>
        <x:v>0</x:v>
      </x:c>
    </x:row>
    <x:row r="27" ht="22" customHeight="1">
      <x:c r="A27" s="1" t="str">
        <x:v>V1</x:v>
      </x:c>
      <x:c r="B27" s="1" t="str">
        <x:v>J06</x:v>
      </x:c>
      <x:c r="C27" s="1" t="str">
        <x:v>J06-U018</x:v>
      </x:c>
      <x:c r="D27" s="1" t="str">
        <x:v>U018</x:v>
      </x:c>
      <x:c r="E27" s="23" t="n">
        <x:v>86</x:v>
      </x:c>
      <x:c r="F27" s="23" t="n">
        <x:v>1.1</x:v>
      </x:c>
      <x:c r="G27" s="1" t="n">
        <x:v>90</x:v>
      </x:c>
      <x:c r="H27" s="1" t="n">
        <x:v>0</x:v>
      </x:c>
      <x:c r="I27" s="25" t="n">
        <x:f>E27*F27*G27/100*H27</x:f>
        <x:v>0</x:v>
      </x:c>
      <x:c r="J27" s="15"/>
      <x:c r="K27" s="17" t="n">
        <x:f>'项目计算'!R10</x:f>
        <x:v>0</x:v>
      </x:c>
      <x:c r="L27" s="1" t="n">
        <x:v>0</x:v>
      </x:c>
      <x:c r="M27" s="15" t="n">
        <x:f>K27-SUMIFS($J$5:$J$148,$A$5:$A$148,A27,$B$5:$B$148,B27)</x:f>
        <x:v>0</x:v>
      </x:c>
      <x:c r="N27" s="27" t="n">
        <x:f>SUMIFS($I$5:$I$148,$A$5:$A$148,A27,$B$5:$B$148,B27,$L$5:$L$148,0)</x:f>
        <x:v>283.45050000000003</x:v>
      </x:c>
      <x:c r="O27" s="27" t="n">
        <x:f>IF(L27=1,J27*100,IF(N27=0,0,M27*100*I27/N27))</x:f>
        <x:v>0</x:v>
      </x:c>
      <x:c r="P27" s="27" t="n">
        <x:f>ROUNDDOWN(O27,0)</x:f>
        <x:v>0</x:v>
      </x:c>
      <x:c r="Q27" s="27" t="n">
        <x:f>ROUND(O27-P27,10)</x:f>
        <x:v>0</x:v>
      </x:c>
      <x:c r="R27" s="1" t="n">
        <x:f>IF(L27=1,0,COUNTIFS($A$5:$A$148,A27,$B$5:$B$148,B27,$L$5:$L$148,0,$Q$5:$Q$148,"&gt;"&amp;Q27)+COUNTIFS($A$5:$A$148,A27,$B$5:$B$148,B27,$L$5:$L$148,0,$Q$5:$Q$148,Q27,$C$5:$C$148,"&lt;"&amp;C27)+1)</x:f>
        <x:v>4</x:v>
      </x:c>
      <x:c r="S27" s="1" t="n">
        <x:f>ROUND(M27*100-SUMIFS($P$5:$P$148,$A$5:$A$148,A27,$B$5:$B$148,B27,$L$5:$L$148,0),0)</x:f>
        <x:v>0</x:v>
      </x:c>
      <x:c r="T27" s="15" t="n">
        <x:f>IF(L27=1,J27,(P27+IF(R27&lt;=S27,1,0))/100)</x:f>
        <x:v>0</x:v>
      </x:c>
      <x:c r="U27" s="29" t="n">
        <x:f>'项目计算'!S10</x:f>
        <x:v>0.2</x:v>
      </x:c>
      <x:c r="V27" s="15" t="n">
        <x:f>ROUND(T27*(1-U27),2)</x:f>
        <x:v>0</x:v>
      </x:c>
      <x:c r="W27" s="15" t="n">
        <x:f>T27-V27</x:f>
        <x:v>0</x:v>
      </x:c>
    </x:row>
    <x:row r="28" ht="22" customHeight="1">
      <x:c r="A28" s="10" t="str">
        <x:v>V1</x:v>
      </x:c>
      <x:c r="B28" s="10" t="str">
        <x:v>J06</x:v>
      </x:c>
      <x:c r="C28" s="10" t="str">
        <x:v>J06-U001</x:v>
      </x:c>
      <x:c r="D28" s="10" t="str">
        <x:v>U001</x:v>
      </x:c>
      <x:c r="E28" s="24" t="n">
        <x:v>106.5</x:v>
      </x:c>
      <x:c r="F28" s="24" t="n">
        <x:v>0.9</x:v>
      </x:c>
      <x:c r="G28" s="10" t="n">
        <x:v>95</x:v>
      </x:c>
      <x:c r="H28" s="10" t="n">
        <x:v>1</x:v>
      </x:c>
      <x:c r="I28" s="26" t="n">
        <x:f>E28*F28*G28/100*H28</x:f>
        <x:v>91.0575</x:v>
      </x:c>
      <x:c r="J28" s="16"/>
      <x:c r="K28" s="18" t="n">
        <x:f>'项目计算'!R10</x:f>
        <x:v>0</x:v>
      </x:c>
      <x:c r="L28" s="10" t="n">
        <x:v>0</x:v>
      </x:c>
      <x:c r="M28" s="16" t="n">
        <x:f>K28-SUMIFS($J$5:$J$148,$A$5:$A$148,A28,$B$5:$B$148,B28)</x:f>
        <x:v>0</x:v>
      </x:c>
      <x:c r="N28" s="28" t="n">
        <x:f>SUMIFS($I$5:$I$148,$A$5:$A$148,A28,$B$5:$B$148,B28,$L$5:$L$148,0)</x:f>
        <x:v>283.45050000000003</x:v>
      </x:c>
      <x:c r="O28" s="28" t="n">
        <x:f>IF(L28=1,J28*100,IF(N28=0,0,M28*100*I28/N28))</x:f>
        <x:v>0</x:v>
      </x:c>
      <x:c r="P28" s="28" t="n">
        <x:f>ROUNDDOWN(O28,0)</x:f>
        <x:v>0</x:v>
      </x:c>
      <x:c r="Q28" s="28" t="n">
        <x:f>ROUND(O28-P28,10)</x:f>
        <x:v>0</x:v>
      </x:c>
      <x:c r="R28" s="10" t="n">
        <x:f>IF(L28=1,0,COUNTIFS($A$5:$A$148,A28,$B$5:$B$148,B28,$L$5:$L$148,0,$Q$5:$Q$148,"&gt;"&amp;Q28)+COUNTIFS($A$5:$A$148,A28,$B$5:$B$148,B28,$L$5:$L$148,0,$Q$5:$Q$148,Q28,$C$5:$C$148,"&lt;"&amp;C28)+1)</x:f>
        <x:v>1</x:v>
      </x:c>
      <x:c r="S28" s="10" t="n">
        <x:f>ROUND(M28*100-SUMIFS($P$5:$P$148,$A$5:$A$148,A28,$B$5:$B$148,B28,$L$5:$L$148,0),0)</x:f>
        <x:v>0</x:v>
      </x:c>
      <x:c r="T28" s="16" t="n">
        <x:f>IF(L28=1,J28,(P28+IF(R28&lt;=S28,1,0))/100)</x:f>
        <x:v>0</x:v>
      </x:c>
      <x:c r="U28" s="30" t="n">
        <x:f>'项目计算'!S10</x:f>
        <x:v>0.2</x:v>
      </x:c>
      <x:c r="V28" s="16" t="n">
        <x:f>ROUND(T28*(1-U28),2)</x:f>
        <x:v>0</x:v>
      </x:c>
      <x:c r="W28" s="16" t="n">
        <x:f>T28-V28</x:f>
        <x:v>0</x:v>
      </x:c>
    </x:row>
    <x:row r="29" ht="22" customHeight="1">
      <x:c r="A29" s="1" t="str">
        <x:v>V1</x:v>
      </x:c>
      <x:c r="B29" s="1" t="str">
        <x:v>J07</x:v>
      </x:c>
      <x:c r="C29" s="1" t="str">
        <x:v>J07-U001</x:v>
      </x:c>
      <x:c r="D29" s="1" t="str">
        <x:v>U001</x:v>
      </x:c>
      <x:c r="E29" s="23" t="n">
        <x:v>98.5</x:v>
      </x:c>
      <x:c r="F29" s="23" t="n">
        <x:v>1.2</x:v>
      </x:c>
      <x:c r="G29" s="1" t="n">
        <x:v>80</x:v>
      </x:c>
      <x:c r="H29" s="1" t="n">
        <x:v>1</x:v>
      </x:c>
      <x:c r="I29" s="25" t="n">
        <x:f>E29*F29*G29/100*H29</x:f>
        <x:v>94.56</x:v>
      </x:c>
      <x:c r="J29" s="15"/>
      <x:c r="K29" s="17" t="n">
        <x:f>'项目计算'!R11</x:f>
        <x:v>0</x:v>
      </x:c>
      <x:c r="L29" s="1" t="n">
        <x:v>0</x:v>
      </x:c>
      <x:c r="M29" s="15" t="n">
        <x:f>K29-SUMIFS($J$5:$J$148,$A$5:$A$148,A29,$B$5:$B$148,B29)</x:f>
        <x:v>0</x:v>
      </x:c>
      <x:c r="N29" s="27" t="n">
        <x:f>SUMIFS($I$5:$I$148,$A$5:$A$148,A29,$B$5:$B$148,B29,$L$5:$L$148,0)</x:f>
        <x:v>285.704</x:v>
      </x:c>
      <x:c r="O29" s="27" t="n">
        <x:f>IF(L29=1,J29*100,IF(N29=0,0,M29*100*I29/N29))</x:f>
        <x:v>0</x:v>
      </x:c>
      <x:c r="P29" s="27" t="n">
        <x:f>ROUNDDOWN(O29,0)</x:f>
        <x:v>0</x:v>
      </x:c>
      <x:c r="Q29" s="27" t="n">
        <x:f>ROUND(O29-P29,10)</x:f>
        <x:v>0</x:v>
      </x:c>
      <x:c r="R29" s="1" t="n">
        <x:f>IF(L29=1,0,COUNTIFS($A$5:$A$148,A29,$B$5:$B$148,B29,$L$5:$L$148,0,$Q$5:$Q$148,"&gt;"&amp;Q29)+COUNTIFS($A$5:$A$148,A29,$B$5:$B$148,B29,$L$5:$L$148,0,$Q$5:$Q$148,Q29,$C$5:$C$148,"&lt;"&amp;C29)+1)</x:f>
        <x:v>1</x:v>
      </x:c>
      <x:c r="S29" s="1" t="n">
        <x:f>ROUND(M29*100-SUMIFS($P$5:$P$148,$A$5:$A$148,A29,$B$5:$B$148,B29,$L$5:$L$148,0),0)</x:f>
        <x:v>0</x:v>
      </x:c>
      <x:c r="T29" s="15" t="n">
        <x:f>IF(L29=1,J29,(P29+IF(R29&lt;=S29,1,0))/100)</x:f>
        <x:v>0</x:v>
      </x:c>
      <x:c r="U29" s="29" t="n">
        <x:f>'项目计算'!S11</x:f>
        <x:v>0.2</x:v>
      </x:c>
      <x:c r="V29" s="15" t="n">
        <x:f>ROUND(T29*(1-U29),2)</x:f>
        <x:v>0</x:v>
      </x:c>
      <x:c r="W29" s="15" t="n">
        <x:f>T29-V29</x:f>
        <x:v>0</x:v>
      </x:c>
    </x:row>
    <x:row r="30" ht="22" customHeight="1">
      <x:c r="A30" s="10" t="str">
        <x:v>V1</x:v>
      </x:c>
      <x:c r="B30" s="10" t="str">
        <x:v>J07</x:v>
      </x:c>
      <x:c r="C30" s="10" t="str">
        <x:v>J07-U002</x:v>
      </x:c>
      <x:c r="D30" s="10" t="str">
        <x:v>U002</x:v>
      </x:c>
      <x:c r="E30" s="24" t="n">
        <x:v>135.5</x:v>
      </x:c>
      <x:c r="F30" s="24" t="n">
        <x:v>1</x:v>
      </x:c>
      <x:c r="G30" s="10" t="n">
        <x:v>64</x:v>
      </x:c>
      <x:c r="H30" s="10" t="n">
        <x:v>1</x:v>
      </x:c>
      <x:c r="I30" s="26" t="n">
        <x:f>E30*F30*G30/100*H30</x:f>
        <x:v>86.72</x:v>
      </x:c>
      <x:c r="J30" s="16"/>
      <x:c r="K30" s="18" t="n">
        <x:f>'项目计算'!R11</x:f>
        <x:v>0</x:v>
      </x:c>
      <x:c r="L30" s="10" t="n">
        <x:v>0</x:v>
      </x:c>
      <x:c r="M30" s="16" t="n">
        <x:f>K30-SUMIFS($J$5:$J$148,$A$5:$A$148,A30,$B$5:$B$148,B30)</x:f>
        <x:v>0</x:v>
      </x:c>
      <x:c r="N30" s="28" t="n">
        <x:f>SUMIFS($I$5:$I$148,$A$5:$A$148,A30,$B$5:$B$148,B30,$L$5:$L$148,0)</x:f>
        <x:v>285.704</x:v>
      </x:c>
      <x:c r="O30" s="28" t="n">
        <x:f>IF(L30=1,J30*100,IF(N30=0,0,M30*100*I30/N30))</x:f>
        <x:v>0</x:v>
      </x:c>
      <x:c r="P30" s="28" t="n">
        <x:f>ROUNDDOWN(O30,0)</x:f>
        <x:v>0</x:v>
      </x:c>
      <x:c r="Q30" s="28" t="n">
        <x:f>ROUND(O30-P30,10)</x:f>
        <x:v>0</x:v>
      </x:c>
      <x:c r="R30" s="10" t="n">
        <x:f>IF(L30=1,0,COUNTIFS($A$5:$A$148,A30,$B$5:$B$148,B30,$L$5:$L$148,0,$Q$5:$Q$148,"&gt;"&amp;Q30)+COUNTIFS($A$5:$A$148,A30,$B$5:$B$148,B30,$L$5:$L$148,0,$Q$5:$Q$148,Q30,$C$5:$C$148,"&lt;"&amp;C30)+1)</x:f>
        <x:v>2</x:v>
      </x:c>
      <x:c r="S30" s="10" t="n">
        <x:f>ROUND(M30*100-SUMIFS($P$5:$P$148,$A$5:$A$148,A30,$B$5:$B$148,B30,$L$5:$L$148,0),0)</x:f>
        <x:v>0</x:v>
      </x:c>
      <x:c r="T30" s="16" t="n">
        <x:f>IF(L30=1,J30,(P30+IF(R30&lt;=S30,1,0))/100)</x:f>
        <x:v>0</x:v>
      </x:c>
      <x:c r="U30" s="30" t="n">
        <x:f>'项目计算'!S11</x:f>
        <x:v>0.2</x:v>
      </x:c>
      <x:c r="V30" s="16" t="n">
        <x:f>ROUND(T30*(1-U30),2)</x:f>
        <x:v>0</x:v>
      </x:c>
      <x:c r="W30" s="16" t="n">
        <x:f>T30-V30</x:f>
        <x:v>0</x:v>
      </x:c>
    </x:row>
    <x:row r="31" ht="22" customHeight="1">
      <x:c r="A31" s="1" t="str">
        <x:v>V1</x:v>
      </x:c>
      <x:c r="B31" s="1" t="str">
        <x:v>J07</x:v>
      </x:c>
      <x:c r="C31" s="1" t="str">
        <x:v>J07-U003</x:v>
      </x:c>
      <x:c r="D31" s="1" t="str">
        <x:v>U003</x:v>
      </x:c>
      <x:c r="E31" s="23" t="n">
        <x:v>74</x:v>
      </x:c>
      <x:c r="F31" s="23" t="n">
        <x:v>1.1</x:v>
      </x:c>
      <x:c r="G31" s="1" t="n">
        <x:v>60</x:v>
      </x:c>
      <x:c r="H31" s="1" t="n">
        <x:v>1</x:v>
      </x:c>
      <x:c r="I31" s="25" t="n">
        <x:f>E31*F31*G31/100*H31</x:f>
        <x:v>48.84</x:v>
      </x:c>
      <x:c r="J31" s="15"/>
      <x:c r="K31" s="17" t="n">
        <x:f>'项目计算'!R11</x:f>
        <x:v>0</x:v>
      </x:c>
      <x:c r="L31" s="1" t="n">
        <x:v>0</x:v>
      </x:c>
      <x:c r="M31" s="15" t="n">
        <x:f>K31-SUMIFS($J$5:$J$148,$A$5:$A$148,A31,$B$5:$B$148,B31)</x:f>
        <x:v>0</x:v>
      </x:c>
      <x:c r="N31" s="27" t="n">
        <x:f>SUMIFS($I$5:$I$148,$A$5:$A$148,A31,$B$5:$B$148,B31,$L$5:$L$148,0)</x:f>
        <x:v>285.704</x:v>
      </x:c>
      <x:c r="O31" s="27" t="n">
        <x:f>IF(L31=1,J31*100,IF(N31=0,0,M31*100*I31/N31))</x:f>
        <x:v>0</x:v>
      </x:c>
      <x:c r="P31" s="27" t="n">
        <x:f>ROUNDDOWN(O31,0)</x:f>
        <x:v>0</x:v>
      </x:c>
      <x:c r="Q31" s="27" t="n">
        <x:f>ROUND(O31-P31,10)</x:f>
        <x:v>0</x:v>
      </x:c>
      <x:c r="R31" s="1" t="n">
        <x:f>IF(L31=1,0,COUNTIFS($A$5:$A$148,A31,$B$5:$B$148,B31,$L$5:$L$148,0,$Q$5:$Q$148,"&gt;"&amp;Q31)+COUNTIFS($A$5:$A$148,A31,$B$5:$B$148,B31,$L$5:$L$148,0,$Q$5:$Q$148,Q31,$C$5:$C$148,"&lt;"&amp;C31)+1)</x:f>
        <x:v>3</x:v>
      </x:c>
      <x:c r="S31" s="1" t="n">
        <x:f>ROUND(M31*100-SUMIFS($P$5:$P$148,$A$5:$A$148,A31,$B$5:$B$148,B31,$L$5:$L$148,0),0)</x:f>
        <x:v>0</x:v>
      </x:c>
      <x:c r="T31" s="15" t="n">
        <x:f>IF(L31=1,J31,(P31+IF(R31&lt;=S31,1,0))/100)</x:f>
        <x:v>0</x:v>
      </x:c>
      <x:c r="U31" s="29" t="n">
        <x:f>'项目计算'!S11</x:f>
        <x:v>0.2</x:v>
      </x:c>
      <x:c r="V31" s="15" t="n">
        <x:f>ROUND(T31*(1-U31),2)</x:f>
        <x:v>0</x:v>
      </x:c>
      <x:c r="W31" s="15" t="n">
        <x:f>T31-V31</x:f>
        <x:v>0</x:v>
      </x:c>
    </x:row>
    <x:row r="32" ht="22" customHeight="1">
      <x:c r="A32" s="10" t="str">
        <x:v>V1</x:v>
      </x:c>
      <x:c r="B32" s="10" t="str">
        <x:v>J07</x:v>
      </x:c>
      <x:c r="C32" s="10" t="str">
        <x:v>J07-U004</x:v>
      </x:c>
      <x:c r="D32" s="10" t="str">
        <x:v>U004</x:v>
      </x:c>
      <x:c r="E32" s="24" t="n">
        <x:v>96.5</x:v>
      </x:c>
      <x:c r="F32" s="24" t="n">
        <x:v>0.9</x:v>
      </x:c>
      <x:c r="G32" s="10" t="n">
        <x:v>64</x:v>
      </x:c>
      <x:c r="H32" s="10" t="n">
        <x:v>1</x:v>
      </x:c>
      <x:c r="I32" s="26" t="n">
        <x:f>E32*F32*G32/100*H32</x:f>
        <x:v>55.584</x:v>
      </x:c>
      <x:c r="J32" s="16"/>
      <x:c r="K32" s="18" t="n">
        <x:f>'项目计算'!R11</x:f>
        <x:v>0</x:v>
      </x:c>
      <x:c r="L32" s="10" t="n">
        <x:v>0</x:v>
      </x:c>
      <x:c r="M32" s="16" t="n">
        <x:f>K32-SUMIFS($J$5:$J$148,$A$5:$A$148,A32,$B$5:$B$148,B32)</x:f>
        <x:v>0</x:v>
      </x:c>
      <x:c r="N32" s="28" t="n">
        <x:f>SUMIFS($I$5:$I$148,$A$5:$A$148,A32,$B$5:$B$148,B32,$L$5:$L$148,0)</x:f>
        <x:v>285.704</x:v>
      </x:c>
      <x:c r="O32" s="28" t="n">
        <x:f>IF(L32=1,J32*100,IF(N32=0,0,M32*100*I32/N32))</x:f>
        <x:v>0</x:v>
      </x:c>
      <x:c r="P32" s="28" t="n">
        <x:f>ROUNDDOWN(O32,0)</x:f>
        <x:v>0</x:v>
      </x:c>
      <x:c r="Q32" s="28" t="n">
        <x:f>ROUND(O32-P32,10)</x:f>
        <x:v>0</x:v>
      </x:c>
      <x:c r="R32" s="10" t="n">
        <x:f>IF(L32=1,0,COUNTIFS($A$5:$A$148,A32,$B$5:$B$148,B32,$L$5:$L$148,0,$Q$5:$Q$148,"&gt;"&amp;Q32)+COUNTIFS($A$5:$A$148,A32,$B$5:$B$148,B32,$L$5:$L$148,0,$Q$5:$Q$148,Q32,$C$5:$C$148,"&lt;"&amp;C32)+1)</x:f>
        <x:v>4</x:v>
      </x:c>
      <x:c r="S32" s="10" t="n">
        <x:f>ROUND(M32*100-SUMIFS($P$5:$P$148,$A$5:$A$148,A32,$B$5:$B$148,B32,$L$5:$L$148,0),0)</x:f>
        <x:v>0</x:v>
      </x:c>
      <x:c r="T32" s="16" t="n">
        <x:f>IF(L32=1,J32,(P32+IF(R32&lt;=S32,1,0))/100)</x:f>
        <x:v>0</x:v>
      </x:c>
      <x:c r="U32" s="30" t="n">
        <x:f>'项目计算'!S11</x:f>
        <x:v>0.2</x:v>
      </x:c>
      <x:c r="V32" s="16" t="n">
        <x:f>ROUND(T32*(1-U32),2)</x:f>
        <x:v>0</x:v>
      </x:c>
      <x:c r="W32" s="16" t="n">
        <x:f>T32-V32</x:f>
        <x:v>0</x:v>
      </x:c>
    </x:row>
    <x:row r="33" ht="22" customHeight="1">
      <x:c r="A33" s="1" t="str">
        <x:v>V1</x:v>
      </x:c>
      <x:c r="B33" s="1" t="str">
        <x:v>J08</x:v>
      </x:c>
      <x:c r="C33" s="1" t="str">
        <x:v>J08-U004</x:v>
      </x:c>
      <x:c r="D33" s="1" t="str">
        <x:v>U004</x:v>
      </x:c>
      <x:c r="E33" s="23" t="n">
        <x:v>129.5</x:v>
      </x:c>
      <x:c r="F33" s="23" t="n">
        <x:v>1.2</x:v>
      </x:c>
      <x:c r="G33" s="1" t="n">
        <x:v>89</x:v>
      </x:c>
      <x:c r="H33" s="1" t="n">
        <x:v>1</x:v>
      </x:c>
      <x:c r="I33" s="25" t="n">
        <x:f>E33*F33*G33/100*H33</x:f>
        <x:v>138.306</x:v>
      </x:c>
      <x:c r="J33" s="15"/>
      <x:c r="K33" s="17" t="n">
        <x:f>'项目计算'!R12</x:f>
        <x:v>6384</x:v>
      </x:c>
      <x:c r="L33" s="1" t="n">
        <x:v>0</x:v>
      </x:c>
      <x:c r="M33" s="15" t="n">
        <x:f>K33-SUMIFS($J$5:$J$148,$A$5:$A$148,A33,$B$5:$B$148,B33)</x:f>
        <x:v>6384</x:v>
      </x:c>
      <x:c r="N33" s="27" t="n">
        <x:f>SUMIFS($I$5:$I$148,$A$5:$A$148,A33,$B$5:$B$148,B33,$L$5:$L$148,0)</x:f>
        <x:v>247.5</x:v>
      </x:c>
      <x:c r="O33" s="27" t="n">
        <x:f>IF(L33=1,J33*100,IF(N33=0,0,M33*100*I33/N33))</x:f>
        <x:v>356745.6581818182</x:v>
      </x:c>
      <x:c r="P33" s="27" t="n">
        <x:f>ROUNDDOWN(O33,0)</x:f>
        <x:v>356745</x:v>
      </x:c>
      <x:c r="Q33" s="27" t="n">
        <x:f>ROUND(O33-P33,10)</x:f>
        <x:v>0.6581818182</x:v>
      </x:c>
      <x:c r="R33" s="1" t="n">
        <x:f>IF(L33=1,0,COUNTIFS($A$5:$A$148,A33,$B$5:$B$148,B33,$L$5:$L$148,0,$Q$5:$Q$148,"&gt;"&amp;Q33)+COUNTIFS($A$5:$A$148,A33,$B$5:$B$148,B33,$L$5:$L$148,0,$Q$5:$Q$148,Q33,$C$5:$C$148,"&lt;"&amp;C33)+1)</x:f>
        <x:v>2</x:v>
      </x:c>
      <x:c r="S33" s="1" t="n">
        <x:f>ROUND(M33*100-SUMIFS($P$5:$P$148,$A$5:$A$148,A33,$B$5:$B$148,B33,$L$5:$L$148,0),0)</x:f>
        <x:v>2</x:v>
      </x:c>
      <x:c r="T33" s="15" t="n">
        <x:f>IF(L33=1,J33,(P33+IF(R33&lt;=S33,1,0))/100)</x:f>
        <x:v>3567.46</x:v>
      </x:c>
      <x:c r="U33" s="29" t="n">
        <x:f>'项目计算'!S12</x:f>
        <x:v>0.2</x:v>
      </x:c>
      <x:c r="V33" s="15" t="n">
        <x:f>ROUND(T33*(1-U33),2)</x:f>
        <x:v>2853.97</x:v>
      </x:c>
      <x:c r="W33" s="15" t="n">
        <x:f>T33-V33</x:f>
        <x:v>713.4900000000002</x:v>
      </x:c>
    </x:row>
    <x:row r="34" ht="22" customHeight="1">
      <x:c r="A34" s="10" t="str">
        <x:v>V1</x:v>
      </x:c>
      <x:c r="B34" s="10" t="str">
        <x:v>J08</x:v>
      </x:c>
      <x:c r="C34" s="10" t="str">
        <x:v>J08-U005</x:v>
      </x:c>
      <x:c r="D34" s="10" t="str">
        <x:v>U005</x:v>
      </x:c>
      <x:c r="E34" s="24" t="n">
        <x:v>88.5</x:v>
      </x:c>
      <x:c r="F34" s="24" t="n">
        <x:v>1</x:v>
      </x:c>
      <x:c r="G34" s="10" t="n">
        <x:v>72</x:v>
      </x:c>
      <x:c r="H34" s="10" t="n">
        <x:v>1</x:v>
      </x:c>
      <x:c r="I34" s="26" t="n">
        <x:f>E34*F34*G34/100*H34</x:f>
        <x:v>63.72</x:v>
      </x:c>
      <x:c r="J34" s="16"/>
      <x:c r="K34" s="18" t="n">
        <x:f>'项目计算'!R12</x:f>
        <x:v>6384</x:v>
      </x:c>
      <x:c r="L34" s="10" t="n">
        <x:v>0</x:v>
      </x:c>
      <x:c r="M34" s="16" t="n">
        <x:f>K34-SUMIFS($J$5:$J$148,$A$5:$A$148,A34,$B$5:$B$148,B34)</x:f>
        <x:v>6384</x:v>
      </x:c>
      <x:c r="N34" s="28" t="n">
        <x:f>SUMIFS($I$5:$I$148,$A$5:$A$148,A34,$B$5:$B$148,B34,$L$5:$L$148,0)</x:f>
        <x:v>247.5</x:v>
      </x:c>
      <x:c r="O34" s="28" t="n">
        <x:f>IF(L34=1,J34*100,IF(N34=0,0,M34*100*I34/N34))</x:f>
        <x:v>164358.9818181818</x:v>
      </x:c>
      <x:c r="P34" s="28" t="n">
        <x:f>ROUNDDOWN(O34,0)</x:f>
        <x:v>164358</x:v>
      </x:c>
      <x:c r="Q34" s="28" t="n">
        <x:f>ROUND(O34-P34,10)</x:f>
        <x:v>0.9818181818</x:v>
      </x:c>
      <x:c r="R34" s="10" t="n">
        <x:f>IF(L34=1,0,COUNTIFS($A$5:$A$148,A34,$B$5:$B$148,B34,$L$5:$L$148,0,$Q$5:$Q$148,"&gt;"&amp;Q34)+COUNTIFS($A$5:$A$148,A34,$B$5:$B$148,B34,$L$5:$L$148,0,$Q$5:$Q$148,Q34,$C$5:$C$148,"&lt;"&amp;C34)+1)</x:f>
        <x:v>1</x:v>
      </x:c>
      <x:c r="S34" s="10" t="n">
        <x:f>ROUND(M34*100-SUMIFS($P$5:$P$148,$A$5:$A$148,A34,$B$5:$B$148,B34,$L$5:$L$148,0),0)</x:f>
        <x:v>2</x:v>
      </x:c>
      <x:c r="T34" s="16" t="n">
        <x:f>IF(L34=1,J34,(P34+IF(R34&lt;=S34,1,0))/100)</x:f>
        <x:v>1643.59</x:v>
      </x:c>
      <x:c r="U34" s="30" t="n">
        <x:f>'项目计算'!S12</x:f>
        <x:v>0.2</x:v>
      </x:c>
      <x:c r="V34" s="16" t="n">
        <x:f>ROUND(T34*(1-U34),2)</x:f>
        <x:v>1314.87</x:v>
      </x:c>
      <x:c r="W34" s="16" t="n">
        <x:f>T34-V34</x:f>
        <x:v>328.72</x:v>
      </x:c>
    </x:row>
    <x:row r="35" ht="22" customHeight="1">
      <x:c r="A35" s="1" t="str">
        <x:v>V1</x:v>
      </x:c>
      <x:c r="B35" s="1" t="str">
        <x:v>J08</x:v>
      </x:c>
      <x:c r="C35" s="1" t="str">
        <x:v>J08-U006</x:v>
      </x:c>
      <x:c r="D35" s="1" t="str">
        <x:v>U006</x:v>
      </x:c>
      <x:c r="E35" s="23" t="n">
        <x:v>53</x:v>
      </x:c>
      <x:c r="F35" s="23" t="n">
        <x:v>1.1</x:v>
      </x:c>
      <x:c r="G35" s="1" t="n">
        <x:v>78</x:v>
      </x:c>
      <x:c r="H35" s="1" t="n">
        <x:v>1</x:v>
      </x:c>
      <x:c r="I35" s="25" t="n">
        <x:f>E35*F35*G35/100*H35</x:f>
        <x:v>45.474000000000004</x:v>
      </x:c>
      <x:c r="J35" s="15"/>
      <x:c r="K35" s="17" t="n">
        <x:f>'项目计算'!R12</x:f>
        <x:v>6384</x:v>
      </x:c>
      <x:c r="L35" s="1" t="n">
        <x:v>0</x:v>
      </x:c>
      <x:c r="M35" s="15" t="n">
        <x:f>K35-SUMIFS($J$5:$J$148,$A$5:$A$148,A35,$B$5:$B$148,B35)</x:f>
        <x:v>6384</x:v>
      </x:c>
      <x:c r="N35" s="27" t="n">
        <x:f>SUMIFS($I$5:$I$148,$A$5:$A$148,A35,$B$5:$B$148,B35,$L$5:$L$148,0)</x:f>
        <x:v>247.5</x:v>
      </x:c>
      <x:c r="O35" s="27" t="n">
        <x:f>IF(L35=1,J35*100,IF(N35=0,0,M35*100*I35/N35))</x:f>
        <x:v>117295.36</x:v>
      </x:c>
      <x:c r="P35" s="27" t="n">
        <x:f>ROUNDDOWN(O35,0)</x:f>
        <x:v>117295</x:v>
      </x:c>
      <x:c r="Q35" s="27" t="n">
        <x:f>ROUND(O35-P35,10)</x:f>
        <x:v>0.36</x:v>
      </x:c>
      <x:c r="R35" s="1" t="n">
        <x:f>IF(L35=1,0,COUNTIFS($A$5:$A$148,A35,$B$5:$B$148,B35,$L$5:$L$148,0,$Q$5:$Q$148,"&gt;"&amp;Q35)+COUNTIFS($A$5:$A$148,A35,$B$5:$B$148,B35,$L$5:$L$148,0,$Q$5:$Q$148,Q35,$C$5:$C$148,"&lt;"&amp;C35)+1)</x:f>
        <x:v>3</x:v>
      </x:c>
      <x:c r="S35" s="1" t="n">
        <x:f>ROUND(M35*100-SUMIFS($P$5:$P$148,$A$5:$A$148,A35,$B$5:$B$148,B35,$L$5:$L$148,0),0)</x:f>
        <x:v>2</x:v>
      </x:c>
      <x:c r="T35" s="15" t="n">
        <x:f>IF(L35=1,J35,(P35+IF(R35&lt;=S35,1,0))/100)</x:f>
        <x:v>1172.95</x:v>
      </x:c>
      <x:c r="U35" s="29" t="n">
        <x:f>'项目计算'!S12</x:f>
        <x:v>0.2</x:v>
      </x:c>
      <x:c r="V35" s="15" t="n">
        <x:f>ROUND(T35*(1-U35),2)</x:f>
        <x:v>938.36</x:v>
      </x:c>
      <x:c r="W35" s="15" t="n">
        <x:f>T35-V35</x:f>
        <x:v>234.59000000000003</x:v>
      </x:c>
    </x:row>
    <x:row r="36" ht="22" customHeight="1">
      <x:c r="A36" s="10" t="str">
        <x:v>V1</x:v>
      </x:c>
      <x:c r="B36" s="10" t="str">
        <x:v>J08</x:v>
      </x:c>
      <x:c r="C36" s="10" t="str">
        <x:v>J08-U007</x:v>
      </x:c>
      <x:c r="D36" s="10" t="str">
        <x:v>U007</x:v>
      </x:c>
      <x:c r="E36" s="24" t="n">
        <x:v>109.5</x:v>
      </x:c>
      <x:c r="F36" s="24" t="n">
        <x:v>0.9</x:v>
      </x:c>
      <x:c r="G36" s="10" t="n">
        <x:v>0</x:v>
      </x:c>
      <x:c r="H36" s="10" t="n">
        <x:v>1</x:v>
      </x:c>
      <x:c r="I36" s="26" t="n">
        <x:f>E36*F36*G36/100*H36</x:f>
        <x:v>0</x:v>
      </x:c>
      <x:c r="J36" s="16"/>
      <x:c r="K36" s="18" t="n">
        <x:f>'项目计算'!R12</x:f>
        <x:v>6384</x:v>
      </x:c>
      <x:c r="L36" s="10" t="n">
        <x:v>0</x:v>
      </x:c>
      <x:c r="M36" s="16" t="n">
        <x:f>K36-SUMIFS($J$5:$J$148,$A$5:$A$148,A36,$B$5:$B$148,B36)</x:f>
        <x:v>6384</x:v>
      </x:c>
      <x:c r="N36" s="28" t="n">
        <x:f>SUMIFS($I$5:$I$148,$A$5:$A$148,A36,$B$5:$B$148,B36,$L$5:$L$148,0)</x:f>
        <x:v>247.5</x:v>
      </x:c>
      <x:c r="O36" s="28" t="n">
        <x:f>IF(L36=1,J36*100,IF(N36=0,0,M36*100*I36/N36))</x:f>
        <x:v>0</x:v>
      </x:c>
      <x:c r="P36" s="28" t="n">
        <x:f>ROUNDDOWN(O36,0)</x:f>
        <x:v>0</x:v>
      </x:c>
      <x:c r="Q36" s="28" t="n">
        <x:f>ROUND(O36-P36,10)</x:f>
        <x:v>0</x:v>
      </x:c>
      <x:c r="R36" s="10" t="n">
        <x:f>IF(L36=1,0,COUNTIFS($A$5:$A$148,A36,$B$5:$B$148,B36,$L$5:$L$148,0,$Q$5:$Q$148,"&gt;"&amp;Q36)+COUNTIFS($A$5:$A$148,A36,$B$5:$B$148,B36,$L$5:$L$148,0,$Q$5:$Q$148,Q36,$C$5:$C$148,"&lt;"&amp;C36)+1)</x:f>
        <x:v>4</x:v>
      </x:c>
      <x:c r="S36" s="10" t="n">
        <x:f>ROUND(M36*100-SUMIFS($P$5:$P$148,$A$5:$A$148,A36,$B$5:$B$148,B36,$L$5:$L$148,0),0)</x:f>
        <x:v>2</x:v>
      </x:c>
      <x:c r="T36" s="16" t="n">
        <x:f>IF(L36=1,J36,(P36+IF(R36&lt;=S36,1,0))/100)</x:f>
        <x:v>0</x:v>
      </x:c>
      <x:c r="U36" s="30" t="n">
        <x:f>'项目计算'!S12</x:f>
        <x:v>0.2</x:v>
      </x:c>
      <x:c r="V36" s="16" t="n">
        <x:f>ROUND(T36*(1-U36),2)</x:f>
        <x:v>0</x:v>
      </x:c>
      <x:c r="W36" s="16" t="n">
        <x:f>T36-V36</x:f>
        <x:v>0</x:v>
      </x:c>
    </x:row>
    <x:row r="37" ht="22" customHeight="1">
      <x:c r="A37" s="1" t="str">
        <x:v>V1</x:v>
      </x:c>
      <x:c r="B37" s="1" t="str">
        <x:v>J09</x:v>
      </x:c>
      <x:c r="C37" s="1" t="str">
        <x:v>J09-U007</x:v>
      </x:c>
      <x:c r="D37" s="1" t="str">
        <x:v>U007</x:v>
      </x:c>
      <x:c r="E37" s="23" t="n">
        <x:v>132.5</x:v>
      </x:c>
      <x:c r="F37" s="23" t="n">
        <x:v>1.2</x:v>
      </x:c>
      <x:c r="G37" s="1" t="n">
        <x:v>94</x:v>
      </x:c>
      <x:c r="H37" s="1" t="n">
        <x:v>1</x:v>
      </x:c>
      <x:c r="I37" s="25" t="n">
        <x:f>E37*F37*G37/100*H37</x:f>
        <x:v>149.46</x:v>
      </x:c>
      <x:c r="J37" s="15"/>
      <x:c r="K37" s="17" t="n">
        <x:f>'项目计算'!R13</x:f>
        <x:v>0</x:v>
      </x:c>
      <x:c r="L37" s="1" t="n">
        <x:v>0</x:v>
      </x:c>
      <x:c r="M37" s="15" t="n">
        <x:f>K37-SUMIFS($J$5:$J$148,$A$5:$A$148,A37,$B$5:$B$148,B37)</x:f>
        <x:v>0</x:v>
      </x:c>
      <x:c r="N37" s="27" t="n">
        <x:f>SUMIFS($I$5:$I$148,$A$5:$A$148,A37,$B$5:$B$148,B37,$L$5:$L$148,0)</x:f>
        <x:v>378.1895</x:v>
      </x:c>
      <x:c r="O37" s="27" t="n">
        <x:f>IF(L37=1,J37*100,IF(N37=0,0,M37*100*I37/N37))</x:f>
        <x:v>0</x:v>
      </x:c>
      <x:c r="P37" s="27" t="n">
        <x:f>ROUNDDOWN(O37,0)</x:f>
        <x:v>0</x:v>
      </x:c>
      <x:c r="Q37" s="27" t="n">
        <x:f>ROUND(O37-P37,10)</x:f>
        <x:v>0</x:v>
      </x:c>
      <x:c r="R37" s="1" t="n">
        <x:f>IF(L37=1,0,COUNTIFS($A$5:$A$148,A37,$B$5:$B$148,B37,$L$5:$L$148,0,$Q$5:$Q$148,"&gt;"&amp;Q37)+COUNTIFS($A$5:$A$148,A37,$B$5:$B$148,B37,$L$5:$L$148,0,$Q$5:$Q$148,Q37,$C$5:$C$148,"&lt;"&amp;C37)+1)</x:f>
        <x:v>1</x:v>
      </x:c>
      <x:c r="S37" s="1" t="n">
        <x:f>ROUND(M37*100-SUMIFS($P$5:$P$148,$A$5:$A$148,A37,$B$5:$B$148,B37,$L$5:$L$148,0),0)</x:f>
        <x:v>0</x:v>
      </x:c>
      <x:c r="T37" s="15" t="n">
        <x:f>IF(L37=1,J37,(P37+IF(R37&lt;=S37,1,0))/100)</x:f>
        <x:v>0</x:v>
      </x:c>
      <x:c r="U37" s="29" t="n">
        <x:f>'项目计算'!S13</x:f>
        <x:v>0.2</x:v>
      </x:c>
      <x:c r="V37" s="15" t="n">
        <x:f>ROUND(T37*(1-U37),2)</x:f>
        <x:v>0</x:v>
      </x:c>
      <x:c r="W37" s="15" t="n">
        <x:f>T37-V37</x:f>
        <x:v>0</x:v>
      </x:c>
    </x:row>
    <x:row r="38" ht="22" customHeight="1">
      <x:c r="A38" s="10" t="str">
        <x:v>V1</x:v>
      </x:c>
      <x:c r="B38" s="10" t="str">
        <x:v>J09</x:v>
      </x:c>
      <x:c r="C38" s="10" t="str">
        <x:v>J09-U008</x:v>
      </x:c>
      <x:c r="D38" s="10" t="str">
        <x:v>U008</x:v>
      </x:c>
      <x:c r="E38" s="24" t="n">
        <x:v>77.5</x:v>
      </x:c>
      <x:c r="F38" s="24" t="n">
        <x:v>1</x:v>
      </x:c>
      <x:c r="G38" s="10" t="n">
        <x:v>97</x:v>
      </x:c>
      <x:c r="H38" s="10" t="n">
        <x:v>1</x:v>
      </x:c>
      <x:c r="I38" s="26" t="n">
        <x:f>E38*F38*G38/100*H38</x:f>
        <x:v>75.175</x:v>
      </x:c>
      <x:c r="J38" s="16"/>
      <x:c r="K38" s="18" t="n">
        <x:f>'项目计算'!R13</x:f>
        <x:v>0</x:v>
      </x:c>
      <x:c r="L38" s="10" t="n">
        <x:v>0</x:v>
      </x:c>
      <x:c r="M38" s="16" t="n">
        <x:f>K38-SUMIFS($J$5:$J$148,$A$5:$A$148,A38,$B$5:$B$148,B38)</x:f>
        <x:v>0</x:v>
      </x:c>
      <x:c r="N38" s="28" t="n">
        <x:f>SUMIFS($I$5:$I$148,$A$5:$A$148,A38,$B$5:$B$148,B38,$L$5:$L$148,0)</x:f>
        <x:v>378.1895</x:v>
      </x:c>
      <x:c r="O38" s="28" t="n">
        <x:f>IF(L38=1,J38*100,IF(N38=0,0,M38*100*I38/N38))</x:f>
        <x:v>0</x:v>
      </x:c>
      <x:c r="P38" s="28" t="n">
        <x:f>ROUNDDOWN(O38,0)</x:f>
        <x:v>0</x:v>
      </x:c>
      <x:c r="Q38" s="28" t="n">
        <x:f>ROUND(O38-P38,10)</x:f>
        <x:v>0</x:v>
      </x:c>
      <x:c r="R38" s="10" t="n">
        <x:f>IF(L38=1,0,COUNTIFS($A$5:$A$148,A38,$B$5:$B$148,B38,$L$5:$L$148,0,$Q$5:$Q$148,"&gt;"&amp;Q38)+COUNTIFS($A$5:$A$148,A38,$B$5:$B$148,B38,$L$5:$L$148,0,$Q$5:$Q$148,Q38,$C$5:$C$148,"&lt;"&amp;C38)+1)</x:f>
        <x:v>2</x:v>
      </x:c>
      <x:c r="S38" s="10" t="n">
        <x:f>ROUND(M38*100-SUMIFS($P$5:$P$148,$A$5:$A$148,A38,$B$5:$B$148,B38,$L$5:$L$148,0),0)</x:f>
        <x:v>0</x:v>
      </x:c>
      <x:c r="T38" s="16" t="n">
        <x:f>IF(L38=1,J38,(P38+IF(R38&lt;=S38,1,0))/100)</x:f>
        <x:v>0</x:v>
      </x:c>
      <x:c r="U38" s="30" t="n">
        <x:f>'项目计算'!S13</x:f>
        <x:v>0.2</x:v>
      </x:c>
      <x:c r="V38" s="16" t="n">
        <x:f>ROUND(T38*(1-U38),2)</x:f>
        <x:v>0</x:v>
      </x:c>
      <x:c r="W38" s="16" t="n">
        <x:f>T38-V38</x:f>
        <x:v>0</x:v>
      </x:c>
    </x:row>
    <x:row r="39" ht="22" customHeight="1">
      <x:c r="A39" s="1" t="str">
        <x:v>V1</x:v>
      </x:c>
      <x:c r="B39" s="1" t="str">
        <x:v>J09</x:v>
      </x:c>
      <x:c r="C39" s="1" t="str">
        <x:v>J09-U009</x:v>
      </x:c>
      <x:c r="D39" s="1" t="str">
        <x:v>U009</x:v>
      </x:c>
      <x:c r="E39" s="23" t="n">
        <x:v>83</x:v>
      </x:c>
      <x:c r="F39" s="23" t="n">
        <x:v>1.1</x:v>
      </x:c>
      <x:c r="G39" s="1" t="n">
        <x:v>79</x:v>
      </x:c>
      <x:c r="H39" s="1" t="n">
        <x:v>1</x:v>
      </x:c>
      <x:c r="I39" s="25" t="n">
        <x:f>E39*F39*G39/100*H39</x:f>
        <x:v>72.12700000000001</x:v>
      </x:c>
      <x:c r="J39" s="15"/>
      <x:c r="K39" s="17" t="n">
        <x:f>'项目计算'!R13</x:f>
        <x:v>0</x:v>
      </x:c>
      <x:c r="L39" s="1" t="n">
        <x:v>0</x:v>
      </x:c>
      <x:c r="M39" s="15" t="n">
        <x:f>K39-SUMIFS($J$5:$J$148,$A$5:$A$148,A39,$B$5:$B$148,B39)</x:f>
        <x:v>0</x:v>
      </x:c>
      <x:c r="N39" s="27" t="n">
        <x:f>SUMIFS($I$5:$I$148,$A$5:$A$148,A39,$B$5:$B$148,B39,$L$5:$L$148,0)</x:f>
        <x:v>378.1895</x:v>
      </x:c>
      <x:c r="O39" s="27" t="n">
        <x:f>IF(L39=1,J39*100,IF(N39=0,0,M39*100*I39/N39))</x:f>
        <x:v>0</x:v>
      </x:c>
      <x:c r="P39" s="27" t="n">
        <x:f>ROUNDDOWN(O39,0)</x:f>
        <x:v>0</x:v>
      </x:c>
      <x:c r="Q39" s="27" t="n">
        <x:f>ROUND(O39-P39,10)</x:f>
        <x:v>0</x:v>
      </x:c>
      <x:c r="R39" s="1" t="n">
        <x:f>IF(L39=1,0,COUNTIFS($A$5:$A$148,A39,$B$5:$B$148,B39,$L$5:$L$148,0,$Q$5:$Q$148,"&gt;"&amp;Q39)+COUNTIFS($A$5:$A$148,A39,$B$5:$B$148,B39,$L$5:$L$148,0,$Q$5:$Q$148,Q39,$C$5:$C$148,"&lt;"&amp;C39)+1)</x:f>
        <x:v>3</x:v>
      </x:c>
      <x:c r="S39" s="1" t="n">
        <x:f>ROUND(M39*100-SUMIFS($P$5:$P$148,$A$5:$A$148,A39,$B$5:$B$148,B39,$L$5:$L$148,0),0)</x:f>
        <x:v>0</x:v>
      </x:c>
      <x:c r="T39" s="15" t="n">
        <x:f>IF(L39=1,J39,(P39+IF(R39&lt;=S39,1,0))/100)</x:f>
        <x:v>0</x:v>
      </x:c>
      <x:c r="U39" s="29" t="n">
        <x:f>'项目计算'!S13</x:f>
        <x:v>0.2</x:v>
      </x:c>
      <x:c r="V39" s="15" t="n">
        <x:f>ROUND(T39*(1-U39),2)</x:f>
        <x:v>0</x:v>
      </x:c>
      <x:c r="W39" s="15" t="n">
        <x:f>T39-V39</x:f>
        <x:v>0</x:v>
      </x:c>
    </x:row>
    <x:row r="40" ht="22" customHeight="1">
      <x:c r="A40" s="10" t="str">
        <x:v>V1</x:v>
      </x:c>
      <x:c r="B40" s="10" t="str">
        <x:v>J09</x:v>
      </x:c>
      <x:c r="C40" s="10" t="str">
        <x:v>J09-U010</x:v>
      </x:c>
      <x:c r="D40" s="10" t="str">
        <x:v>U010</x:v>
      </x:c>
      <x:c r="E40" s="24" t="n">
        <x:v>117.5</x:v>
      </x:c>
      <x:c r="F40" s="24" t="n">
        <x:v>0.9</x:v>
      </x:c>
      <x:c r="G40" s="10" t="n">
        <x:v>77</x:v>
      </x:c>
      <x:c r="H40" s="10" t="n">
        <x:v>1</x:v>
      </x:c>
      <x:c r="I40" s="26" t="n">
        <x:f>E40*F40*G40/100*H40</x:f>
        <x:v>81.4275</x:v>
      </x:c>
      <x:c r="J40" s="16"/>
      <x:c r="K40" s="18" t="n">
        <x:f>'项目计算'!R13</x:f>
        <x:v>0</x:v>
      </x:c>
      <x:c r="L40" s="10" t="n">
        <x:v>0</x:v>
      </x:c>
      <x:c r="M40" s="16" t="n">
        <x:f>K40-SUMIFS($J$5:$J$148,$A$5:$A$148,A40,$B$5:$B$148,B40)</x:f>
        <x:v>0</x:v>
      </x:c>
      <x:c r="N40" s="28" t="n">
        <x:f>SUMIFS($I$5:$I$148,$A$5:$A$148,A40,$B$5:$B$148,B40,$L$5:$L$148,0)</x:f>
        <x:v>378.1895</x:v>
      </x:c>
      <x:c r="O40" s="28" t="n">
        <x:f>IF(L40=1,J40*100,IF(N40=0,0,M40*100*I40/N40))</x:f>
        <x:v>0</x:v>
      </x:c>
      <x:c r="P40" s="28" t="n">
        <x:f>ROUNDDOWN(O40,0)</x:f>
        <x:v>0</x:v>
      </x:c>
      <x:c r="Q40" s="28" t="n">
        <x:f>ROUND(O40-P40,10)</x:f>
        <x:v>0</x:v>
      </x:c>
      <x:c r="R40" s="10" t="n">
        <x:f>IF(L40=1,0,COUNTIFS($A$5:$A$148,A40,$B$5:$B$148,B40,$L$5:$L$148,0,$Q$5:$Q$148,"&gt;"&amp;Q40)+COUNTIFS($A$5:$A$148,A40,$B$5:$B$148,B40,$L$5:$L$148,0,$Q$5:$Q$148,Q40,$C$5:$C$148,"&lt;"&amp;C40)+1)</x:f>
        <x:v>4</x:v>
      </x:c>
      <x:c r="S40" s="10" t="n">
        <x:f>ROUND(M40*100-SUMIFS($P$5:$P$148,$A$5:$A$148,A40,$B$5:$B$148,B40,$L$5:$L$148,0),0)</x:f>
        <x:v>0</x:v>
      </x:c>
      <x:c r="T40" s="16" t="n">
        <x:f>IF(L40=1,J40,(P40+IF(R40&lt;=S40,1,0))/100)</x:f>
        <x:v>0</x:v>
      </x:c>
      <x:c r="U40" s="30" t="n">
        <x:f>'项目计算'!S13</x:f>
        <x:v>0.2</x:v>
      </x:c>
      <x:c r="V40" s="16" t="n">
        <x:f>ROUND(T40*(1-U40),2)</x:f>
        <x:v>0</x:v>
      </x:c>
      <x:c r="W40" s="16" t="n">
        <x:f>T40-V40</x:f>
        <x:v>0</x:v>
      </x:c>
    </x:row>
    <x:row r="41" ht="22" customHeight="1">
      <x:c r="A41" s="1" t="str">
        <x:v>V1</x:v>
      </x:c>
      <x:c r="B41" s="1" t="str">
        <x:v>J10</x:v>
      </x:c>
      <x:c r="C41" s="1" t="str">
        <x:v>J10-U010</x:v>
      </x:c>
      <x:c r="D41" s="1" t="str">
        <x:v>U010</x:v>
      </x:c>
      <x:c r="E41" s="23" t="n">
        <x:v>116.5</x:v>
      </x:c>
      <x:c r="F41" s="23" t="n">
        <x:v>1.2</x:v>
      </x:c>
      <x:c r="G41" s="1" t="n">
        <x:v>60</x:v>
      </x:c>
      <x:c r="H41" s="1" t="n">
        <x:v>1</x:v>
      </x:c>
      <x:c r="I41" s="25" t="n">
        <x:f>E41*F41*G41/100*H41</x:f>
        <x:v>83.87999999999998</x:v>
      </x:c>
      <x:c r="J41" s="15"/>
      <x:c r="K41" s="17" t="n">
        <x:f>'项目计算'!R14</x:f>
        <x:v>8000</x:v>
      </x:c>
      <x:c r="L41" s="1" t="n">
        <x:v>0</x:v>
      </x:c>
      <x:c r="M41" s="15" t="n">
        <x:f>K41-SUMIFS($J$5:$J$148,$A$5:$A$148,A41,$B$5:$B$148,B41)</x:f>
        <x:v>8000</x:v>
      </x:c>
      <x:c r="N41" s="27" t="n">
        <x:f>SUMIFS($I$5:$I$148,$A$5:$A$148,A41,$B$5:$B$148,B41,$L$5:$L$148,0)</x:f>
        <x:v>330.48749999999995</x:v>
      </x:c>
      <x:c r="O41" s="27" t="n">
        <x:f>IF(L41=1,J41*100,IF(N41=0,0,M41*100*I41/N41))</x:f>
        <x:v>203045.50096448426</x:v>
      </x:c>
      <x:c r="P41" s="27" t="n">
        <x:f>ROUNDDOWN(O41,0)</x:f>
        <x:v>203045</x:v>
      </x:c>
      <x:c r="Q41" s="27" t="n">
        <x:f>ROUND(O41-P41,10)</x:f>
        <x:v>0.5009644843</x:v>
      </x:c>
      <x:c r="R41" s="1" t="n">
        <x:f>IF(L41=1,0,COUNTIFS($A$5:$A$148,A41,$B$5:$B$148,B41,$L$5:$L$148,0,$Q$5:$Q$148,"&gt;"&amp;Q41)+COUNTIFS($A$5:$A$148,A41,$B$5:$B$148,B41,$L$5:$L$148,0,$Q$5:$Q$148,Q41,$C$5:$C$148,"&lt;"&amp;C41)+1)</x:f>
        <x:v>1</x:v>
      </x:c>
      <x:c r="S41" s="1" t="n">
        <x:f>ROUND(M41*100-SUMIFS($P$5:$P$148,$A$5:$A$148,A41,$B$5:$B$148,B41,$L$5:$L$148,0),0)</x:f>
        <x:v>1</x:v>
      </x:c>
      <x:c r="T41" s="15" t="n">
        <x:f>IF(L41=1,J41,(P41+IF(R41&lt;=S41,1,0))/100)</x:f>
        <x:v>2030.46</x:v>
      </x:c>
      <x:c r="U41" s="29" t="n">
        <x:f>'项目计算'!S14</x:f>
        <x:v>0</x:v>
      </x:c>
      <x:c r="V41" s="15" t="n">
        <x:f>ROUND(T41*(1-U41),2)</x:f>
        <x:v>2030.46</x:v>
      </x:c>
      <x:c r="W41" s="15" t="n">
        <x:f>T41-V41</x:f>
        <x:v>0</x:v>
      </x:c>
    </x:row>
    <x:row r="42" ht="22" customHeight="1">
      <x:c r="A42" s="10" t="str">
        <x:v>V1</x:v>
      </x:c>
      <x:c r="B42" s="10" t="str">
        <x:v>J10</x:v>
      </x:c>
      <x:c r="C42" s="10" t="str">
        <x:v>J10-U011</x:v>
      </x:c>
      <x:c r="D42" s="10" t="str">
        <x:v>U011</x:v>
      </x:c>
      <x:c r="E42" s="24" t="n">
        <x:v>117.5</x:v>
      </x:c>
      <x:c r="F42" s="24" t="n">
        <x:v>1</x:v>
      </x:c>
      <x:c r="G42" s="10" t="n">
        <x:v>96</x:v>
      </x:c>
      <x:c r="H42" s="10" t="n">
        <x:v>1</x:v>
      </x:c>
      <x:c r="I42" s="26" t="n">
        <x:f>E42*F42*G42/100*H42</x:f>
        <x:v>112.8</x:v>
      </x:c>
      <x:c r="J42" s="16"/>
      <x:c r="K42" s="18" t="n">
        <x:f>'项目计算'!R14</x:f>
        <x:v>8000</x:v>
      </x:c>
      <x:c r="L42" s="10" t="n">
        <x:v>0</x:v>
      </x:c>
      <x:c r="M42" s="16" t="n">
        <x:f>K42-SUMIFS($J$5:$J$148,$A$5:$A$148,A42,$B$5:$B$148,B42)</x:f>
        <x:v>8000</x:v>
      </x:c>
      <x:c r="N42" s="28" t="n">
        <x:f>SUMIFS($I$5:$I$148,$A$5:$A$148,A42,$B$5:$B$148,B42,$L$5:$L$148,0)</x:f>
        <x:v>330.48749999999995</x:v>
      </x:c>
      <x:c r="O42" s="28" t="n">
        <x:f>IF(L42=1,J42*100,IF(N42=0,0,M42*100*I42/N42))</x:f>
        <x:v>273051.1744014524</x:v>
      </x:c>
      <x:c r="P42" s="28" t="n">
        <x:f>ROUNDDOWN(O42,0)</x:f>
        <x:v>273051</x:v>
      </x:c>
      <x:c r="Q42" s="28" t="n">
        <x:f>ROUND(O42-P42,10)</x:f>
        <x:v>0.1744014524</x:v>
      </x:c>
      <x:c r="R42" s="10" t="n">
        <x:f>IF(L42=1,0,COUNTIFS($A$5:$A$148,A42,$B$5:$B$148,B42,$L$5:$L$148,0,$Q$5:$Q$148,"&gt;"&amp;Q42)+COUNTIFS($A$5:$A$148,A42,$B$5:$B$148,B42,$L$5:$L$148,0,$Q$5:$Q$148,Q42,$C$5:$C$148,"&lt;"&amp;C42)+1)</x:f>
        <x:v>3</x:v>
      </x:c>
      <x:c r="S42" s="10" t="n">
        <x:f>ROUND(M42*100-SUMIFS($P$5:$P$148,$A$5:$A$148,A42,$B$5:$B$148,B42,$L$5:$L$148,0),0)</x:f>
        <x:v>1</x:v>
      </x:c>
      <x:c r="T42" s="16" t="n">
        <x:f>IF(L42=1,J42,(P42+IF(R42&lt;=S42,1,0))/100)</x:f>
        <x:v>2730.51</x:v>
      </x:c>
      <x:c r="U42" s="30" t="n">
        <x:f>'项目计算'!S14</x:f>
        <x:v>0</x:v>
      </x:c>
      <x:c r="V42" s="16" t="n">
        <x:f>ROUND(T42*(1-U42),2)</x:f>
        <x:v>2730.51</x:v>
      </x:c>
      <x:c r="W42" s="16" t="n">
        <x:f>T42-V42</x:f>
        <x:v>0</x:v>
      </x:c>
    </x:row>
    <x:row r="43" ht="22" customHeight="1">
      <x:c r="A43" s="1" t="str">
        <x:v>V1</x:v>
      </x:c>
      <x:c r="B43" s="1" t="str">
        <x:v>J10</x:v>
      </x:c>
      <x:c r="C43" s="1" t="str">
        <x:v>J10-U012</x:v>
      </x:c>
      <x:c r="D43" s="1" t="str">
        <x:v>U012</x:v>
      </x:c>
      <x:c r="E43" s="23" t="n">
        <x:v>54</x:v>
      </x:c>
      <x:c r="F43" s="23" t="n">
        <x:v>1.1</x:v>
      </x:c>
      <x:c r="G43" s="1" t="n">
        <x:v>95</x:v>
      </x:c>
      <x:c r="H43" s="1" t="n">
        <x:v>1</x:v>
      </x:c>
      <x:c r="I43" s="25" t="n">
        <x:f>E43*F43*G43/100*H43</x:f>
        <x:v>56.43000000000001</x:v>
      </x:c>
      <x:c r="J43" s="15"/>
      <x:c r="K43" s="17" t="n">
        <x:f>'项目计算'!R14</x:f>
        <x:v>8000</x:v>
      </x:c>
      <x:c r="L43" s="1" t="n">
        <x:v>0</x:v>
      </x:c>
      <x:c r="M43" s="15" t="n">
        <x:f>K43-SUMIFS($J$5:$J$148,$A$5:$A$148,A43,$B$5:$B$148,B43)</x:f>
        <x:v>8000</x:v>
      </x:c>
      <x:c r="N43" s="27" t="n">
        <x:f>SUMIFS($I$5:$I$148,$A$5:$A$148,A43,$B$5:$B$148,B43,$L$5:$L$148,0)</x:f>
        <x:v>330.48749999999995</x:v>
      </x:c>
      <x:c r="O43" s="27" t="n">
        <x:f>IF(L43=1,J43*100,IF(N43=0,0,M43*100*I43/N43))</x:f>
        <x:v>136598.20719391812</x:v>
      </x:c>
      <x:c r="P43" s="27" t="n">
        <x:f>ROUNDDOWN(O43,0)</x:f>
        <x:v>136598</x:v>
      </x:c>
      <x:c r="Q43" s="27" t="n">
        <x:f>ROUND(O43-P43,10)</x:f>
        <x:v>0.2071939181</x:v>
      </x:c>
      <x:c r="R43" s="1" t="n">
        <x:f>IF(L43=1,0,COUNTIFS($A$5:$A$148,A43,$B$5:$B$148,B43,$L$5:$L$148,0,$Q$5:$Q$148,"&gt;"&amp;Q43)+COUNTIFS($A$5:$A$148,A43,$B$5:$B$148,B43,$L$5:$L$148,0,$Q$5:$Q$148,Q43,$C$5:$C$148,"&lt;"&amp;C43)+1)</x:f>
        <x:v>2</x:v>
      </x:c>
      <x:c r="S43" s="1" t="n">
        <x:f>ROUND(M43*100-SUMIFS($P$5:$P$148,$A$5:$A$148,A43,$B$5:$B$148,B43,$L$5:$L$148,0),0)</x:f>
        <x:v>1</x:v>
      </x:c>
      <x:c r="T43" s="15" t="n">
        <x:f>IF(L43=1,J43,(P43+IF(R43&lt;=S43,1,0))/100)</x:f>
        <x:v>1365.98</x:v>
      </x:c>
      <x:c r="U43" s="29" t="n">
        <x:f>'项目计算'!S14</x:f>
        <x:v>0</x:v>
      </x:c>
      <x:c r="V43" s="15" t="n">
        <x:f>ROUND(T43*(1-U43),2)</x:f>
        <x:v>1365.98</x:v>
      </x:c>
      <x:c r="W43" s="15" t="n">
        <x:f>T43-V43</x:f>
        <x:v>0</x:v>
      </x:c>
    </x:row>
    <x:row r="44" ht="22" customHeight="1">
      <x:c r="A44" s="10" t="str">
        <x:v>V1</x:v>
      </x:c>
      <x:c r="B44" s="10" t="str">
        <x:v>J10</x:v>
      </x:c>
      <x:c r="C44" s="10" t="str">
        <x:v>J10-U013</x:v>
      </x:c>
      <x:c r="D44" s="10" t="str">
        <x:v>U013</x:v>
      </x:c>
      <x:c r="E44" s="24" t="n">
        <x:v>90.5</x:v>
      </x:c>
      <x:c r="F44" s="24" t="n">
        <x:v>0.9</x:v>
      </x:c>
      <x:c r="G44" s="10" t="n">
        <x:v>95</x:v>
      </x:c>
      <x:c r="H44" s="10" t="n">
        <x:v>1</x:v>
      </x:c>
      <x:c r="I44" s="26" t="n">
        <x:f>E44*F44*G44/100*H44</x:f>
        <x:v>77.3775</x:v>
      </x:c>
      <x:c r="J44" s="16"/>
      <x:c r="K44" s="18" t="n">
        <x:f>'项目计算'!R14</x:f>
        <x:v>8000</x:v>
      </x:c>
      <x:c r="L44" s="10" t="n">
        <x:v>0</x:v>
      </x:c>
      <x:c r="M44" s="16" t="n">
        <x:f>K44-SUMIFS($J$5:$J$148,$A$5:$A$148,A44,$B$5:$B$148,B44)</x:f>
        <x:v>8000</x:v>
      </x:c>
      <x:c r="N44" s="28" t="n">
        <x:f>SUMIFS($I$5:$I$148,$A$5:$A$148,A44,$B$5:$B$148,B44,$L$5:$L$148,0)</x:f>
        <x:v>330.48749999999995</x:v>
      </x:c>
      <x:c r="O44" s="28" t="n">
        <x:f>IF(L44=1,J44*100,IF(N44=0,0,M44*100*I44/N44))</x:f>
        <x:v>187305.11744014526</x:v>
      </x:c>
      <x:c r="P44" s="28" t="n">
        <x:f>ROUNDDOWN(O44,0)</x:f>
        <x:v>187305</x:v>
      </x:c>
      <x:c r="Q44" s="28" t="n">
        <x:f>ROUND(O44-P44,10)</x:f>
        <x:v>0.1174401453</x:v>
      </x:c>
      <x:c r="R44" s="10" t="n">
        <x:f>IF(L44=1,0,COUNTIFS($A$5:$A$148,A44,$B$5:$B$148,B44,$L$5:$L$148,0,$Q$5:$Q$148,"&gt;"&amp;Q44)+COUNTIFS($A$5:$A$148,A44,$B$5:$B$148,B44,$L$5:$L$148,0,$Q$5:$Q$148,Q44,$C$5:$C$148,"&lt;"&amp;C44)+1)</x:f>
        <x:v>4</x:v>
      </x:c>
      <x:c r="S44" s="10" t="n">
        <x:f>ROUND(M44*100-SUMIFS($P$5:$P$148,$A$5:$A$148,A44,$B$5:$B$148,B44,$L$5:$L$148,0),0)</x:f>
        <x:v>1</x:v>
      </x:c>
      <x:c r="T44" s="16" t="n">
        <x:f>IF(L44=1,J44,(P44+IF(R44&lt;=S44,1,0))/100)</x:f>
        <x:v>1873.05</x:v>
      </x:c>
      <x:c r="U44" s="30" t="n">
        <x:f>'项目计算'!S14</x:f>
        <x:v>0</x:v>
      </x:c>
      <x:c r="V44" s="16" t="n">
        <x:f>ROUND(T44*(1-U44),2)</x:f>
        <x:v>1873.05</x:v>
      </x:c>
      <x:c r="W44" s="16" t="n">
        <x:f>T44-V44</x:f>
        <x:v>0</x:v>
      </x:c>
    </x:row>
    <x:row r="45" ht="22" customHeight="1">
      <x:c r="A45" s="1" t="str">
        <x:v>V1</x:v>
      </x:c>
      <x:c r="B45" s="1" t="str">
        <x:v>J11</x:v>
      </x:c>
      <x:c r="C45" s="1" t="str">
        <x:v>J11-U013</x:v>
      </x:c>
      <x:c r="D45" s="1" t="str">
        <x:v>U013</x:v>
      </x:c>
      <x:c r="E45" s="23" t="n">
        <x:v>95.5</x:v>
      </x:c>
      <x:c r="F45" s="23" t="n">
        <x:v>1.2</x:v>
      </x:c>
      <x:c r="G45" s="1" t="n">
        <x:v>65</x:v>
      </x:c>
      <x:c r="H45" s="1" t="n">
        <x:v>1</x:v>
      </x:c>
      <x:c r="I45" s="25" t="n">
        <x:f>E45*F45*G45/100*H45</x:f>
        <x:v>74.49</x:v>
      </x:c>
      <x:c r="J45" s="15"/>
      <x:c r="K45" s="17" t="n">
        <x:f>'项目计算'!R15</x:f>
        <x:v>0</x:v>
      </x:c>
      <x:c r="L45" s="1" t="n">
        <x:v>0</x:v>
      </x:c>
      <x:c r="M45" s="15" t="n">
        <x:f>K45-SUMIFS($J$5:$J$148,$A$5:$A$148,A45,$B$5:$B$148,B45)</x:f>
        <x:v>0</x:v>
      </x:c>
      <x:c r="N45" s="27" t="n">
        <x:f>SUMIFS($I$5:$I$148,$A$5:$A$148,A45,$B$5:$B$148,B45,$L$5:$L$148,0)</x:f>
        <x:v>357.88700000000006</x:v>
      </x:c>
      <x:c r="O45" s="27" t="n">
        <x:f>IF(L45=1,J45*100,IF(N45=0,0,M45*100*I45/N45))</x:f>
        <x:v>0</x:v>
      </x:c>
      <x:c r="P45" s="27" t="n">
        <x:f>ROUNDDOWN(O45,0)</x:f>
        <x:v>0</x:v>
      </x:c>
      <x:c r="Q45" s="27" t="n">
        <x:f>ROUND(O45-P45,10)</x:f>
        <x:v>0</x:v>
      </x:c>
      <x:c r="R45" s="1" t="n">
        <x:f>IF(L45=1,0,COUNTIFS($A$5:$A$148,A45,$B$5:$B$148,B45,$L$5:$L$148,0,$Q$5:$Q$148,"&gt;"&amp;Q45)+COUNTIFS($A$5:$A$148,A45,$B$5:$B$148,B45,$L$5:$L$148,0,$Q$5:$Q$148,Q45,$C$5:$C$148,"&lt;"&amp;C45)+1)</x:f>
        <x:v>1</x:v>
      </x:c>
      <x:c r="S45" s="1" t="n">
        <x:f>ROUND(M45*100-SUMIFS($P$5:$P$148,$A$5:$A$148,A45,$B$5:$B$148,B45,$L$5:$L$148,0),0)</x:f>
        <x:v>0</x:v>
      </x:c>
      <x:c r="T45" s="15" t="n">
        <x:f>IF(L45=1,J45,(P45+IF(R45&lt;=S45,1,0))/100)</x:f>
        <x:v>0</x:v>
      </x:c>
      <x:c r="U45" s="29" t="n">
        <x:f>'项目计算'!S15</x:f>
        <x:v>0.2</x:v>
      </x:c>
      <x:c r="V45" s="15" t="n">
        <x:f>ROUND(T45*(1-U45),2)</x:f>
        <x:v>0</x:v>
      </x:c>
      <x:c r="W45" s="15" t="n">
        <x:f>T45-V45</x:f>
        <x:v>0</x:v>
      </x:c>
    </x:row>
    <x:row r="46" ht="22" customHeight="1">
      <x:c r="A46" s="10" t="str">
        <x:v>V1</x:v>
      </x:c>
      <x:c r="B46" s="10" t="str">
        <x:v>J11</x:v>
      </x:c>
      <x:c r="C46" s="10" t="str">
        <x:v>J11-U014</x:v>
      </x:c>
      <x:c r="D46" s="10" t="str">
        <x:v>U014</x:v>
      </x:c>
      <x:c r="E46" s="24" t="n">
        <x:v>106.5</x:v>
      </x:c>
      <x:c r="F46" s="24" t="n">
        <x:v>1</x:v>
      </x:c>
      <x:c r="G46" s="10" t="n">
        <x:v>79</x:v>
      </x:c>
      <x:c r="H46" s="10" t="n">
        <x:v>1</x:v>
      </x:c>
      <x:c r="I46" s="26" t="n">
        <x:f>E46*F46*G46/100*H46</x:f>
        <x:v>84.135</x:v>
      </x:c>
      <x:c r="J46" s="16"/>
      <x:c r="K46" s="18" t="n">
        <x:f>'项目计算'!R15</x:f>
        <x:v>0</x:v>
      </x:c>
      <x:c r="L46" s="10" t="n">
        <x:v>0</x:v>
      </x:c>
      <x:c r="M46" s="16" t="n">
        <x:f>K46-SUMIFS($J$5:$J$148,$A$5:$A$148,A46,$B$5:$B$148,B46)</x:f>
        <x:v>0</x:v>
      </x:c>
      <x:c r="N46" s="28" t="n">
        <x:f>SUMIFS($I$5:$I$148,$A$5:$A$148,A46,$B$5:$B$148,B46,$L$5:$L$148,0)</x:f>
        <x:v>357.88700000000006</x:v>
      </x:c>
      <x:c r="O46" s="28" t="n">
        <x:f>IF(L46=1,J46*100,IF(N46=0,0,M46*100*I46/N46))</x:f>
        <x:v>0</x:v>
      </x:c>
      <x:c r="P46" s="28" t="n">
        <x:f>ROUNDDOWN(O46,0)</x:f>
        <x:v>0</x:v>
      </x:c>
      <x:c r="Q46" s="28" t="n">
        <x:f>ROUND(O46-P46,10)</x:f>
        <x:v>0</x:v>
      </x:c>
      <x:c r="R46" s="10" t="n">
        <x:f>IF(L46=1,0,COUNTIFS($A$5:$A$148,A46,$B$5:$B$148,B46,$L$5:$L$148,0,$Q$5:$Q$148,"&gt;"&amp;Q46)+COUNTIFS($A$5:$A$148,A46,$B$5:$B$148,B46,$L$5:$L$148,0,$Q$5:$Q$148,Q46,$C$5:$C$148,"&lt;"&amp;C46)+1)</x:f>
        <x:v>2</x:v>
      </x:c>
      <x:c r="S46" s="10" t="n">
        <x:f>ROUND(M46*100-SUMIFS($P$5:$P$148,$A$5:$A$148,A46,$B$5:$B$148,B46,$L$5:$L$148,0),0)</x:f>
        <x:v>0</x:v>
      </x:c>
      <x:c r="T46" s="16" t="n">
        <x:f>IF(L46=1,J46,(P46+IF(R46&lt;=S46,1,0))/100)</x:f>
        <x:v>0</x:v>
      </x:c>
      <x:c r="U46" s="30" t="n">
        <x:f>'项目计算'!S15</x:f>
        <x:v>0.2</x:v>
      </x:c>
      <x:c r="V46" s="16" t="n">
        <x:f>ROUND(T46*(1-U46),2)</x:f>
        <x:v>0</x:v>
      </x:c>
      <x:c r="W46" s="16" t="n">
        <x:f>T46-V46</x:f>
        <x:v>0</x:v>
      </x:c>
    </x:row>
    <x:row r="47" ht="22" customHeight="1">
      <x:c r="A47" s="1" t="str">
        <x:v>V1</x:v>
      </x:c>
      <x:c r="B47" s="1" t="str">
        <x:v>J11</x:v>
      </x:c>
      <x:c r="C47" s="1" t="str">
        <x:v>J11-U015</x:v>
      </x:c>
      <x:c r="D47" s="1" t="str">
        <x:v>U015</x:v>
      </x:c>
      <x:c r="E47" s="23" t="n">
        <x:v>101</x:v>
      </x:c>
      <x:c r="F47" s="23" t="n">
        <x:v>1.1</x:v>
      </x:c>
      <x:c r="G47" s="1" t="n">
        <x:v>95</x:v>
      </x:c>
      <x:c r="H47" s="1" t="n">
        <x:v>1</x:v>
      </x:c>
      <x:c r="I47" s="25" t="n">
        <x:f>E47*F47*G47/100*H47</x:f>
        <x:v>105.545</x:v>
      </x:c>
      <x:c r="J47" s="15"/>
      <x:c r="K47" s="17" t="n">
        <x:f>'项目计算'!R15</x:f>
        <x:v>0</x:v>
      </x:c>
      <x:c r="L47" s="1" t="n">
        <x:v>0</x:v>
      </x:c>
      <x:c r="M47" s="15" t="n">
        <x:f>K47-SUMIFS($J$5:$J$148,$A$5:$A$148,A47,$B$5:$B$148,B47)</x:f>
        <x:v>0</x:v>
      </x:c>
      <x:c r="N47" s="27" t="n">
        <x:f>SUMIFS($I$5:$I$148,$A$5:$A$148,A47,$B$5:$B$148,B47,$L$5:$L$148,0)</x:f>
        <x:v>357.88700000000006</x:v>
      </x:c>
      <x:c r="O47" s="27" t="n">
        <x:f>IF(L47=1,J47*100,IF(N47=0,0,M47*100*I47/N47))</x:f>
        <x:v>0</x:v>
      </x:c>
      <x:c r="P47" s="27" t="n">
        <x:f>ROUNDDOWN(O47,0)</x:f>
        <x:v>0</x:v>
      </x:c>
      <x:c r="Q47" s="27" t="n">
        <x:f>ROUND(O47-P47,10)</x:f>
        <x:v>0</x:v>
      </x:c>
      <x:c r="R47" s="1" t="n">
        <x:f>IF(L47=1,0,COUNTIFS($A$5:$A$148,A47,$B$5:$B$148,B47,$L$5:$L$148,0,$Q$5:$Q$148,"&gt;"&amp;Q47)+COUNTIFS($A$5:$A$148,A47,$B$5:$B$148,B47,$L$5:$L$148,0,$Q$5:$Q$148,Q47,$C$5:$C$148,"&lt;"&amp;C47)+1)</x:f>
        <x:v>3</x:v>
      </x:c>
      <x:c r="S47" s="1" t="n">
        <x:f>ROUND(M47*100-SUMIFS($P$5:$P$148,$A$5:$A$148,A47,$B$5:$B$148,B47,$L$5:$L$148,0),0)</x:f>
        <x:v>0</x:v>
      </x:c>
      <x:c r="T47" s="15" t="n">
        <x:f>IF(L47=1,J47,(P47+IF(R47&lt;=S47,1,0))/100)</x:f>
        <x:v>0</x:v>
      </x:c>
      <x:c r="U47" s="29" t="n">
        <x:f>'项目计算'!S15</x:f>
        <x:v>0.2</x:v>
      </x:c>
      <x:c r="V47" s="15" t="n">
        <x:f>ROUND(T47*(1-U47),2)</x:f>
        <x:v>0</x:v>
      </x:c>
      <x:c r="W47" s="15" t="n">
        <x:f>T47-V47</x:f>
        <x:v>0</x:v>
      </x:c>
    </x:row>
    <x:row r="48" ht="22" customHeight="1">
      <x:c r="A48" s="10" t="str">
        <x:v>V1</x:v>
      </x:c>
      <x:c r="B48" s="10" t="str">
        <x:v>J11</x:v>
      </x:c>
      <x:c r="C48" s="10" t="str">
        <x:v>J11-U016</x:v>
      </x:c>
      <x:c r="D48" s="10" t="str">
        <x:v>U016</x:v>
      </x:c>
      <x:c r="E48" s="24" t="n">
        <x:v>133.5</x:v>
      </x:c>
      <x:c r="F48" s="24" t="n">
        <x:v>0.9</x:v>
      </x:c>
      <x:c r="G48" s="10" t="n">
        <x:v>78</x:v>
      </x:c>
      <x:c r="H48" s="10" t="n">
        <x:v>1</x:v>
      </x:c>
      <x:c r="I48" s="26" t="n">
        <x:f>E48*F48*G48/100*H48</x:f>
        <x:v>93.71700000000001</x:v>
      </x:c>
      <x:c r="J48" s="16"/>
      <x:c r="K48" s="18" t="n">
        <x:f>'项目计算'!R15</x:f>
        <x:v>0</x:v>
      </x:c>
      <x:c r="L48" s="10" t="n">
        <x:v>0</x:v>
      </x:c>
      <x:c r="M48" s="16" t="n">
        <x:f>K48-SUMIFS($J$5:$J$148,$A$5:$A$148,A48,$B$5:$B$148,B48)</x:f>
        <x:v>0</x:v>
      </x:c>
      <x:c r="N48" s="28" t="n">
        <x:f>SUMIFS($I$5:$I$148,$A$5:$A$148,A48,$B$5:$B$148,B48,$L$5:$L$148,0)</x:f>
        <x:v>357.88700000000006</x:v>
      </x:c>
      <x:c r="O48" s="28" t="n">
        <x:f>IF(L48=1,J48*100,IF(N48=0,0,M48*100*I48/N48))</x:f>
        <x:v>0</x:v>
      </x:c>
      <x:c r="P48" s="28" t="n">
        <x:f>ROUNDDOWN(O48,0)</x:f>
        <x:v>0</x:v>
      </x:c>
      <x:c r="Q48" s="28" t="n">
        <x:f>ROUND(O48-P48,10)</x:f>
        <x:v>0</x:v>
      </x:c>
      <x:c r="R48" s="10" t="n">
        <x:f>IF(L48=1,0,COUNTIFS($A$5:$A$148,A48,$B$5:$B$148,B48,$L$5:$L$148,0,$Q$5:$Q$148,"&gt;"&amp;Q48)+COUNTIFS($A$5:$A$148,A48,$B$5:$B$148,B48,$L$5:$L$148,0,$Q$5:$Q$148,Q48,$C$5:$C$148,"&lt;"&amp;C48)+1)</x:f>
        <x:v>4</x:v>
      </x:c>
      <x:c r="S48" s="10" t="n">
        <x:f>ROUND(M48*100-SUMIFS($P$5:$P$148,$A$5:$A$148,A48,$B$5:$B$148,B48,$L$5:$L$148,0),0)</x:f>
        <x:v>0</x:v>
      </x:c>
      <x:c r="T48" s="16" t="n">
        <x:f>IF(L48=1,J48,(P48+IF(R48&lt;=S48,1,0))/100)</x:f>
        <x:v>0</x:v>
      </x:c>
      <x:c r="U48" s="30" t="n">
        <x:f>'项目计算'!S15</x:f>
        <x:v>0.2</x:v>
      </x:c>
      <x:c r="V48" s="16" t="n">
        <x:f>ROUND(T48*(1-U48),2)</x:f>
        <x:v>0</x:v>
      </x:c>
      <x:c r="W48" s="16" t="n">
        <x:f>T48-V48</x:f>
        <x:v>0</x:v>
      </x:c>
    </x:row>
    <x:row r="49" ht="22" customHeight="1">
      <x:c r="A49" s="1" t="str">
        <x:v>V1</x:v>
      </x:c>
      <x:c r="B49" s="1" t="str">
        <x:v>J12</x:v>
      </x:c>
      <x:c r="C49" s="1" t="str">
        <x:v>J12-U016</x:v>
      </x:c>
      <x:c r="D49" s="1" t="str">
        <x:v>U016</x:v>
      </x:c>
      <x:c r="E49" s="23" t="n">
        <x:v>98.5</x:v>
      </x:c>
      <x:c r="F49" s="23" t="n">
        <x:v>1.2</x:v>
      </x:c>
      <x:c r="G49" s="1" t="n">
        <x:v>86</x:v>
      </x:c>
      <x:c r="H49" s="1" t="n">
        <x:v>1</x:v>
      </x:c>
      <x:c r="I49" s="25" t="n">
        <x:f>E49*F49*G49/100*H49</x:f>
        <x:v>101.65199999999999</x:v>
      </x:c>
      <x:c r="J49" s="15"/>
      <x:c r="K49" s="17" t="n">
        <x:f>'项目计算'!R16</x:f>
        <x:v>1880</x:v>
      </x:c>
      <x:c r="L49" s="1" t="n">
        <x:v>0</x:v>
      </x:c>
      <x:c r="M49" s="15" t="n">
        <x:f>K49-SUMIFS($J$5:$J$148,$A$5:$A$148,A49,$B$5:$B$148,B49)</x:f>
        <x:v>1880</x:v>
      </x:c>
      <x:c r="N49" s="27" t="n">
        <x:f>SUMIFS($I$5:$I$148,$A$5:$A$148,A49,$B$5:$B$148,B49,$L$5:$L$148,0)</x:f>
        <x:v>260.29449999999997</x:v>
      </x:c>
      <x:c r="O49" s="27" t="n">
        <x:f>IF(L49=1,J49*100,IF(N49=0,0,M49*100*I49/N49))</x:f>
        <x:v>73419.05418670006</x:v>
      </x:c>
      <x:c r="P49" s="27" t="n">
        <x:f>ROUNDDOWN(O49,0)</x:f>
        <x:v>73419</x:v>
      </x:c>
      <x:c r="Q49" s="27" t="n">
        <x:f>ROUND(O49-P49,10)</x:f>
        <x:v>0.0541867001</x:v>
      </x:c>
      <x:c r="R49" s="1" t="n">
        <x:f>IF(L49=1,0,COUNTIFS($A$5:$A$148,A49,$B$5:$B$148,B49,$L$5:$L$148,0,$Q$5:$Q$148,"&gt;"&amp;Q49)+COUNTIFS($A$5:$A$148,A49,$B$5:$B$148,B49,$L$5:$L$148,0,$Q$5:$Q$148,Q49,$C$5:$C$148,"&lt;"&amp;C49)+1)</x:f>
        <x:v>3</x:v>
      </x:c>
      <x:c r="S49" s="1" t="n">
        <x:f>ROUND(M49*100-SUMIFS($P$5:$P$148,$A$5:$A$148,A49,$B$5:$B$148,B49,$L$5:$L$148,0),0)</x:f>
        <x:v>1</x:v>
      </x:c>
      <x:c r="T49" s="15" t="n">
        <x:f>IF(L49=1,J49,(P49+IF(R49&lt;=S49,1,0))/100)</x:f>
        <x:v>734.19</x:v>
      </x:c>
      <x:c r="U49" s="29" t="n">
        <x:f>'项目计算'!S16</x:f>
        <x:v>0.2</x:v>
      </x:c>
      <x:c r="V49" s="15" t="n">
        <x:f>ROUND(T49*(1-U49),2)</x:f>
        <x:v>587.35</x:v>
      </x:c>
      <x:c r="W49" s="15" t="n">
        <x:f>T49-V49</x:f>
        <x:v>146.84000000000003</x:v>
      </x:c>
    </x:row>
    <x:row r="50" ht="22" customHeight="1">
      <x:c r="A50" s="10" t="str">
        <x:v>V1</x:v>
      </x:c>
      <x:c r="B50" s="10" t="str">
        <x:v>J12</x:v>
      </x:c>
      <x:c r="C50" s="10" t="str">
        <x:v>J12-U017</x:v>
      </x:c>
      <x:c r="D50" s="10" t="str">
        <x:v>U017</x:v>
      </x:c>
      <x:c r="E50" s="24" t="n">
        <x:v>131.5</x:v>
      </x:c>
      <x:c r="F50" s="24" t="n">
        <x:v>1</x:v>
      </x:c>
      <x:c r="G50" s="10" t="n">
        <x:v>67</x:v>
      </x:c>
      <x:c r="H50" s="10" t="n">
        <x:v>1</x:v>
      </x:c>
      <x:c r="I50" s="26" t="n">
        <x:f>E50*F50*G50/100*H50</x:f>
        <x:v>88.105</x:v>
      </x:c>
      <x:c r="J50" s="16"/>
      <x:c r="K50" s="18" t="n">
        <x:f>'项目计算'!R16</x:f>
        <x:v>1880</x:v>
      </x:c>
      <x:c r="L50" s="10" t="n">
        <x:v>0</x:v>
      </x:c>
      <x:c r="M50" s="16" t="n">
        <x:f>K50-SUMIFS($J$5:$J$148,$A$5:$A$148,A50,$B$5:$B$148,B50)</x:f>
        <x:v>1880</x:v>
      </x:c>
      <x:c r="N50" s="28" t="n">
        <x:f>SUMIFS($I$5:$I$148,$A$5:$A$148,A50,$B$5:$B$148,B50,$L$5:$L$148,0)</x:f>
        <x:v>260.29449999999997</x:v>
      </x:c>
      <x:c r="O50" s="28" t="n">
        <x:f>IF(L50=1,J50*100,IF(N50=0,0,M50*100*I50/N50))</x:f>
        <x:v>63634.61387005873</x:v>
      </x:c>
      <x:c r="P50" s="28" t="n">
        <x:f>ROUNDDOWN(O50,0)</x:f>
        <x:v>63634</x:v>
      </x:c>
      <x:c r="Q50" s="28" t="n">
        <x:f>ROUND(O50-P50,10)</x:f>
        <x:v>0.6138700587</x:v>
      </x:c>
      <x:c r="R50" s="10" t="n">
        <x:f>IF(L50=1,0,COUNTIFS($A$5:$A$148,A50,$B$5:$B$148,B50,$L$5:$L$148,0,$Q$5:$Q$148,"&gt;"&amp;Q50)+COUNTIFS($A$5:$A$148,A50,$B$5:$B$148,B50,$L$5:$L$148,0,$Q$5:$Q$148,Q50,$C$5:$C$148,"&lt;"&amp;C50)+1)</x:f>
        <x:v>1</x:v>
      </x:c>
      <x:c r="S50" s="10" t="n">
        <x:f>ROUND(M50*100-SUMIFS($P$5:$P$148,$A$5:$A$148,A50,$B$5:$B$148,B50,$L$5:$L$148,0),0)</x:f>
        <x:v>1</x:v>
      </x:c>
      <x:c r="T50" s="16" t="n">
        <x:f>IF(L50=1,J50,(P50+IF(R50&lt;=S50,1,0))/100)</x:f>
        <x:v>636.35</x:v>
      </x:c>
      <x:c r="U50" s="30" t="n">
        <x:f>'项目计算'!S16</x:f>
        <x:v>0.2</x:v>
      </x:c>
      <x:c r="V50" s="16" t="n">
        <x:f>ROUND(T50*(1-U50),2)</x:f>
        <x:v>509.08</x:v>
      </x:c>
      <x:c r="W50" s="16" t="n">
        <x:f>T50-V50</x:f>
        <x:v>127.27000000000004</x:v>
      </x:c>
    </x:row>
    <x:row r="51" ht="22" customHeight="1">
      <x:c r="A51" s="1" t="str">
        <x:v>V1</x:v>
      </x:c>
      <x:c r="B51" s="1" t="str">
        <x:v>J12</x:v>
      </x:c>
      <x:c r="C51" s="1" t="str">
        <x:v>J12-U018</x:v>
      </x:c>
      <x:c r="D51" s="1" t="str">
        <x:v>U018</x:v>
      </x:c>
      <x:c r="E51" s="23" t="n">
        <x:v>85</x:v>
      </x:c>
      <x:c r="F51" s="23" t="n">
        <x:v>1.1</x:v>
      </x:c>
      <x:c r="G51" s="1" t="n">
        <x:v>63</x:v>
      </x:c>
      <x:c r="H51" s="1" t="n">
        <x:v>0</x:v>
      </x:c>
      <x:c r="I51" s="25" t="n">
        <x:f>E51*F51*G51/100*H51</x:f>
        <x:v>0</x:v>
      </x:c>
      <x:c r="J51" s="15"/>
      <x:c r="K51" s="17" t="n">
        <x:f>'项目计算'!R16</x:f>
        <x:v>1880</x:v>
      </x:c>
      <x:c r="L51" s="1" t="n">
        <x:v>0</x:v>
      </x:c>
      <x:c r="M51" s="15" t="n">
        <x:f>K51-SUMIFS($J$5:$J$148,$A$5:$A$148,A51,$B$5:$B$148,B51)</x:f>
        <x:v>1880</x:v>
      </x:c>
      <x:c r="N51" s="27" t="n">
        <x:f>SUMIFS($I$5:$I$148,$A$5:$A$148,A51,$B$5:$B$148,B51,$L$5:$L$148,0)</x:f>
        <x:v>260.29449999999997</x:v>
      </x:c>
      <x:c r="O51" s="27" t="n">
        <x:f>IF(L51=1,J51*100,IF(N51=0,0,M51*100*I51/N51))</x:f>
        <x:v>0</x:v>
      </x:c>
      <x:c r="P51" s="27" t="n">
        <x:f>ROUNDDOWN(O51,0)</x:f>
        <x:v>0</x:v>
      </x:c>
      <x:c r="Q51" s="27" t="n">
        <x:f>ROUND(O51-P51,10)</x:f>
        <x:v>0</x:v>
      </x:c>
      <x:c r="R51" s="1" t="n">
        <x:f>IF(L51=1,0,COUNTIFS($A$5:$A$148,A51,$B$5:$B$148,B51,$L$5:$L$148,0,$Q$5:$Q$148,"&gt;"&amp;Q51)+COUNTIFS($A$5:$A$148,A51,$B$5:$B$148,B51,$L$5:$L$148,0,$Q$5:$Q$148,Q51,$C$5:$C$148,"&lt;"&amp;C51)+1)</x:f>
        <x:v>4</x:v>
      </x:c>
      <x:c r="S51" s="1" t="n">
        <x:f>ROUND(M51*100-SUMIFS($P$5:$P$148,$A$5:$A$148,A51,$B$5:$B$148,B51,$L$5:$L$148,0),0)</x:f>
        <x:v>1</x:v>
      </x:c>
      <x:c r="T51" s="15" t="n">
        <x:f>IF(L51=1,J51,(P51+IF(R51&lt;=S51,1,0))/100)</x:f>
        <x:v>0</x:v>
      </x:c>
      <x:c r="U51" s="29" t="n">
        <x:f>'项目计算'!S16</x:f>
        <x:v>0.2</x:v>
      </x:c>
      <x:c r="V51" s="15" t="n">
        <x:f>ROUND(T51*(1-U51),2)</x:f>
        <x:v>0</x:v>
      </x:c>
      <x:c r="W51" s="15" t="n">
        <x:f>T51-V51</x:f>
        <x:v>0</x:v>
      </x:c>
    </x:row>
    <x:row r="52" ht="22" customHeight="1">
      <x:c r="A52" s="10" t="str">
        <x:v>V1</x:v>
      </x:c>
      <x:c r="B52" s="10" t="str">
        <x:v>J12</x:v>
      </x:c>
      <x:c r="C52" s="10" t="str">
        <x:v>J12-U001</x:v>
      </x:c>
      <x:c r="D52" s="10" t="str">
        <x:v>U001</x:v>
      </x:c>
      <x:c r="E52" s="24" t="n">
        <x:v>82.5</x:v>
      </x:c>
      <x:c r="F52" s="24" t="n">
        <x:v>0.9</x:v>
      </x:c>
      <x:c r="G52" s="10" t="n">
        <x:v>95</x:v>
      </x:c>
      <x:c r="H52" s="10" t="n">
        <x:v>1</x:v>
      </x:c>
      <x:c r="I52" s="26" t="n">
        <x:f>E52*F52*G52/100*H52</x:f>
        <x:v>70.5375</x:v>
      </x:c>
      <x:c r="J52" s="16"/>
      <x:c r="K52" s="18" t="n">
        <x:f>'项目计算'!R16</x:f>
        <x:v>1880</x:v>
      </x:c>
      <x:c r="L52" s="10" t="n">
        <x:v>0</x:v>
      </x:c>
      <x:c r="M52" s="16" t="n">
        <x:f>K52-SUMIFS($J$5:$J$148,$A$5:$A$148,A52,$B$5:$B$148,B52)</x:f>
        <x:v>1880</x:v>
      </x:c>
      <x:c r="N52" s="28" t="n">
        <x:f>SUMIFS($I$5:$I$148,$A$5:$A$148,A52,$B$5:$B$148,B52,$L$5:$L$148,0)</x:f>
        <x:v>260.29449999999997</x:v>
      </x:c>
      <x:c r="O52" s="28" t="n">
        <x:f>IF(L52=1,J52*100,IF(N52=0,0,M52*100*I52/N52))</x:f>
        <x:v>50946.33194324121</x:v>
      </x:c>
      <x:c r="P52" s="28" t="n">
        <x:f>ROUNDDOWN(O52,0)</x:f>
        <x:v>50946</x:v>
      </x:c>
      <x:c r="Q52" s="28" t="n">
        <x:f>ROUND(O52-P52,10)</x:f>
        <x:v>0.3319432412</x:v>
      </x:c>
      <x:c r="R52" s="10" t="n">
        <x:f>IF(L52=1,0,COUNTIFS($A$5:$A$148,A52,$B$5:$B$148,B52,$L$5:$L$148,0,$Q$5:$Q$148,"&gt;"&amp;Q52)+COUNTIFS($A$5:$A$148,A52,$B$5:$B$148,B52,$L$5:$L$148,0,$Q$5:$Q$148,Q52,$C$5:$C$148,"&lt;"&amp;C52)+1)</x:f>
        <x:v>2</x:v>
      </x:c>
      <x:c r="S52" s="10" t="n">
        <x:f>ROUND(M52*100-SUMIFS($P$5:$P$148,$A$5:$A$148,A52,$B$5:$B$148,B52,$L$5:$L$148,0),0)</x:f>
        <x:v>1</x:v>
      </x:c>
      <x:c r="T52" s="16" t="n">
        <x:f>IF(L52=1,J52,(P52+IF(R52&lt;=S52,1,0))/100)</x:f>
        <x:v>509.46</x:v>
      </x:c>
      <x:c r="U52" s="30" t="n">
        <x:f>'项目计算'!S16</x:f>
        <x:v>0.2</x:v>
      </x:c>
      <x:c r="V52" s="16" t="n">
        <x:f>ROUND(T52*(1-U52),2)</x:f>
        <x:v>407.57</x:v>
      </x:c>
      <x:c r="W52" s="16" t="n">
        <x:f>T52-V52</x:f>
        <x:v>101.88999999999999</x:v>
      </x:c>
    </x:row>
    <x:row r="53" ht="22" customHeight="1">
      <x:c r="A53" s="1" t="str">
        <x:v>V2</x:v>
      </x:c>
      <x:c r="B53" s="1" t="str">
        <x:v>J01</x:v>
      </x:c>
      <x:c r="C53" s="1" t="str">
        <x:v>J01-U001</x:v>
      </x:c>
      <x:c r="D53" s="1" t="str">
        <x:v>U001</x:v>
      </x:c>
      <x:c r="E53" s="23" t="n">
        <x:v>118.5</x:v>
      </x:c>
      <x:c r="F53" s="23" t="n">
        <x:v>1.2</x:v>
      </x:c>
      <x:c r="G53" s="1" t="n">
        <x:v>95</x:v>
      </x:c>
      <x:c r="H53" s="1" t="n">
        <x:v>1</x:v>
      </x:c>
      <x:c r="I53" s="25" t="n">
        <x:f>E53*F53*G53/100*H53</x:f>
        <x:v>135.08999999999997</x:v>
      </x:c>
      <x:c r="J53" s="15"/>
      <x:c r="K53" s="17" t="n">
        <x:f>'项目计算'!R17</x:f>
        <x:v>15226</x:v>
      </x:c>
      <x:c r="L53" s="1" t="n">
        <x:v>0</x:v>
      </x:c>
      <x:c r="M53" s="15" t="n">
        <x:f>K53-SUMIFS($J$5:$J$148,$A$5:$A$148,A53,$B$5:$B$148,B53)</x:f>
        <x:v>15226</x:v>
      </x:c>
      <x:c r="N53" s="27" t="n">
        <x:f>SUMIFS($I$5:$I$148,$A$5:$A$148,A53,$B$5:$B$148,B53,$L$5:$L$148,0)</x:f>
        <x:v>305.79200000000003</x:v>
      </x:c>
      <x:c r="O53" s="27" t="n">
        <x:f>IF(L53=1,J53*100,IF(N53=0,0,M53*100*I53/N53))</x:f>
        <x:v>672640.3372226872</x:v>
      </x:c>
      <x:c r="P53" s="27" t="n">
        <x:f>ROUNDDOWN(O53,0)</x:f>
        <x:v>672640</x:v>
      </x:c>
      <x:c r="Q53" s="27" t="n">
        <x:f>ROUND(O53-P53,10)</x:f>
        <x:v>0.3372226872</x:v>
      </x:c>
      <x:c r="R53" s="1" t="n">
        <x:f>IF(L53=1,0,COUNTIFS($A$5:$A$148,A53,$B$5:$B$148,B53,$L$5:$L$148,0,$Q$5:$Q$148,"&gt;"&amp;Q53)+COUNTIFS($A$5:$A$148,A53,$B$5:$B$148,B53,$L$5:$L$148,0,$Q$5:$Q$148,Q53,$C$5:$C$148,"&lt;"&amp;C53)+1)</x:f>
        <x:v>2</x:v>
      </x:c>
      <x:c r="S53" s="1" t="n">
        <x:f>ROUND(M53*100-SUMIFS($P$5:$P$148,$A$5:$A$148,A53,$B$5:$B$148,B53,$L$5:$L$148,0),0)</x:f>
        <x:v>1</x:v>
      </x:c>
      <x:c r="T53" s="15" t="n">
        <x:f>IF(L53=1,J53,(P53+IF(R53&lt;=S53,1,0))/100)</x:f>
        <x:v>6726.4</x:v>
      </x:c>
      <x:c r="U53" s="29" t="n">
        <x:f>'项目计算'!S17</x:f>
        <x:v>0.2</x:v>
      </x:c>
      <x:c r="V53" s="15" t="n">
        <x:f>ROUND(T53*(1-U53),2)</x:f>
        <x:v>5381.12</x:v>
      </x:c>
      <x:c r="W53" s="15" t="n">
        <x:f>T53-V53</x:f>
        <x:v>1345.2799999999997</x:v>
      </x:c>
    </x:row>
    <x:row r="54" ht="22" customHeight="1">
      <x:c r="A54" s="10" t="str">
        <x:v>V2</x:v>
      </x:c>
      <x:c r="B54" s="10" t="str">
        <x:v>J01</x:v>
      </x:c>
      <x:c r="C54" s="10" t="str">
        <x:v>J01-U002</x:v>
      </x:c>
      <x:c r="D54" s="10" t="str">
        <x:v>U002</x:v>
      </x:c>
      <x:c r="E54" s="24" t="n">
        <x:v>111.5</x:v>
      </x:c>
      <x:c r="F54" s="24" t="n">
        <x:v>1</x:v>
      </x:c>
      <x:c r="G54" s="10" t="n">
        <x:v>89</x:v>
      </x:c>
      <x:c r="H54" s="10" t="n">
        <x:v>1</x:v>
      </x:c>
      <x:c r="I54" s="26" t="n">
        <x:f>E54*F54*G54/100*H54</x:f>
        <x:v>99.235</x:v>
      </x:c>
      <x:c r="J54" s="16"/>
      <x:c r="K54" s="18" t="n">
        <x:f>'项目计算'!R17</x:f>
        <x:v>15226</x:v>
      </x:c>
      <x:c r="L54" s="10" t="n">
        <x:v>0</x:v>
      </x:c>
      <x:c r="M54" s="16" t="n">
        <x:f>K54-SUMIFS($J$5:$J$148,$A$5:$A$148,A54,$B$5:$B$148,B54)</x:f>
        <x:v>15226</x:v>
      </x:c>
      <x:c r="N54" s="28" t="n">
        <x:f>SUMIFS($I$5:$I$148,$A$5:$A$148,A54,$B$5:$B$148,B54,$L$5:$L$148,0)</x:f>
        <x:v>305.79200000000003</x:v>
      </x:c>
      <x:c r="O54" s="28" t="n">
        <x:f>IF(L54=1,J54*100,IF(N54=0,0,M54*100*I54/N54))</x:f>
        <x:v>494111.06569171196</x:v>
      </x:c>
      <x:c r="P54" s="28" t="n">
        <x:f>ROUNDDOWN(O54,0)</x:f>
        <x:v>494111</x:v>
      </x:c>
      <x:c r="Q54" s="28" t="n">
        <x:f>ROUND(O54-P54,10)</x:f>
        <x:v>0.065691712</x:v>
      </x:c>
      <x:c r="R54" s="10" t="n">
        <x:f>IF(L54=1,0,COUNTIFS($A$5:$A$148,A54,$B$5:$B$148,B54,$L$5:$L$148,0,$Q$5:$Q$148,"&gt;"&amp;Q54)+COUNTIFS($A$5:$A$148,A54,$B$5:$B$148,B54,$L$5:$L$148,0,$Q$5:$Q$148,Q54,$C$5:$C$148,"&lt;"&amp;C54)+1)</x:f>
        <x:v>3</x:v>
      </x:c>
      <x:c r="S54" s="10" t="n">
        <x:f>ROUND(M54*100-SUMIFS($P$5:$P$148,$A$5:$A$148,A54,$B$5:$B$148,B54,$L$5:$L$148,0),0)</x:f>
        <x:v>1</x:v>
      </x:c>
      <x:c r="T54" s="16" t="n">
        <x:f>IF(L54=1,J54,(P54+IF(R54&lt;=S54,1,0))/100)</x:f>
        <x:v>4941.11</x:v>
      </x:c>
      <x:c r="U54" s="30" t="n">
        <x:f>'项目计算'!S17</x:f>
        <x:v>0.2</x:v>
      </x:c>
      <x:c r="V54" s="16" t="n">
        <x:f>ROUND(T54*(1-U54),2)</x:f>
        <x:v>3952.89</x:v>
      </x:c>
      <x:c r="W54" s="16" t="n">
        <x:f>T54-V54</x:f>
        <x:v>988.2199999999998</x:v>
      </x:c>
    </x:row>
    <x:row r="55" ht="22" customHeight="1">
      <x:c r="A55" s="1" t="str">
        <x:v>V2</x:v>
      </x:c>
      <x:c r="B55" s="1" t="str">
        <x:v>J01</x:v>
      </x:c>
      <x:c r="C55" s="1" t="str">
        <x:v>J01-U003</x:v>
      </x:c>
      <x:c r="D55" s="1" t="str">
        <x:v>U003</x:v>
      </x:c>
      <x:c r="E55" s="23" t="n">
        <x:v>73</x:v>
      </x:c>
      <x:c r="F55" s="23" t="n">
        <x:v>1.1</x:v>
      </x:c>
      <x:c r="G55" s="1" t="n">
        <x:v>89</x:v>
      </x:c>
      <x:c r="H55" s="1" t="n">
        <x:v>1</x:v>
      </x:c>
      <x:c r="I55" s="25" t="n">
        <x:f>E55*F55*G55/100*H55</x:f>
        <x:v>71.46700000000001</x:v>
      </x:c>
      <x:c r="J55" s="15"/>
      <x:c r="K55" s="17" t="n">
        <x:f>'项目计算'!R17</x:f>
        <x:v>15226</x:v>
      </x:c>
      <x:c r="L55" s="1" t="n">
        <x:v>0</x:v>
      </x:c>
      <x:c r="M55" s="15" t="n">
        <x:f>K55-SUMIFS($J$5:$J$148,$A$5:$A$148,A55,$B$5:$B$148,B55)</x:f>
        <x:v>15226</x:v>
      </x:c>
      <x:c r="N55" s="27" t="n">
        <x:f>SUMIFS($I$5:$I$148,$A$5:$A$148,A55,$B$5:$B$148,B55,$L$5:$L$148,0)</x:f>
        <x:v>305.79200000000003</x:v>
      </x:c>
      <x:c r="O55" s="27" t="n">
        <x:f>IF(L55=1,J55*100,IF(N55=0,0,M55*100*I55/N55))</x:f>
        <x:v>355848.5970856007</x:v>
      </x:c>
      <x:c r="P55" s="27" t="n">
        <x:f>ROUNDDOWN(O55,0)</x:f>
        <x:v>355848</x:v>
      </x:c>
      <x:c r="Q55" s="27" t="n">
        <x:f>ROUND(O55-P55,10)</x:f>
        <x:v>0.5970856007</x:v>
      </x:c>
      <x:c r="R55" s="1" t="n">
        <x:f>IF(L55=1,0,COUNTIFS($A$5:$A$148,A55,$B$5:$B$148,B55,$L$5:$L$148,0,$Q$5:$Q$148,"&gt;"&amp;Q55)+COUNTIFS($A$5:$A$148,A55,$B$5:$B$148,B55,$L$5:$L$148,0,$Q$5:$Q$148,Q55,$C$5:$C$148,"&lt;"&amp;C55)+1)</x:f>
        <x:v>1</x:v>
      </x:c>
      <x:c r="S55" s="1" t="n">
        <x:f>ROUND(M55*100-SUMIFS($P$5:$P$148,$A$5:$A$148,A55,$B$5:$B$148,B55,$L$5:$L$148,0),0)</x:f>
        <x:v>1</x:v>
      </x:c>
      <x:c r="T55" s="15" t="n">
        <x:f>IF(L55=1,J55,(P55+IF(R55&lt;=S55,1,0))/100)</x:f>
        <x:v>3558.49</x:v>
      </x:c>
      <x:c r="U55" s="29" t="n">
        <x:f>'项目计算'!S17</x:f>
        <x:v>0.2</x:v>
      </x:c>
      <x:c r="V55" s="15" t="n">
        <x:f>ROUND(T55*(1-U55),2)</x:f>
        <x:v>2846.79</x:v>
      </x:c>
      <x:c r="W55" s="15" t="n">
        <x:f>T55-V55</x:f>
        <x:v>711.6999999999998</x:v>
      </x:c>
    </x:row>
    <x:row r="56" ht="22" customHeight="1">
      <x:c r="A56" s="10" t="str">
        <x:v>V2</x:v>
      </x:c>
      <x:c r="B56" s="10" t="str">
        <x:v>J01</x:v>
      </x:c>
      <x:c r="C56" s="10" t="str">
        <x:v>J01-U018</x:v>
      </x:c>
      <x:c r="D56" s="10" t="str">
        <x:v>U018</x:v>
      </x:c>
      <x:c r="E56" s="24" t="n">
        <x:v>114.5</x:v>
      </x:c>
      <x:c r="F56" s="24" t="n">
        <x:v>0.9</x:v>
      </x:c>
      <x:c r="G56" s="10" t="n">
        <x:v>76</x:v>
      </x:c>
      <x:c r="H56" s="10" t="n">
        <x:v>0</x:v>
      </x:c>
      <x:c r="I56" s="26" t="n">
        <x:f>E56*F56*G56/100*H56</x:f>
        <x:v>0</x:v>
      </x:c>
      <x:c r="J56" s="16"/>
      <x:c r="K56" s="18" t="n">
        <x:f>'项目计算'!R17</x:f>
        <x:v>15226</x:v>
      </x:c>
      <x:c r="L56" s="10" t="n">
        <x:v>0</x:v>
      </x:c>
      <x:c r="M56" s="16" t="n">
        <x:f>K56-SUMIFS($J$5:$J$148,$A$5:$A$148,A56,$B$5:$B$148,B56)</x:f>
        <x:v>15226</x:v>
      </x:c>
      <x:c r="N56" s="28" t="n">
        <x:f>SUMIFS($I$5:$I$148,$A$5:$A$148,A56,$B$5:$B$148,B56,$L$5:$L$148,0)</x:f>
        <x:v>305.79200000000003</x:v>
      </x:c>
      <x:c r="O56" s="28" t="n">
        <x:f>IF(L56=1,J56*100,IF(N56=0,0,M56*100*I56/N56))</x:f>
        <x:v>0</x:v>
      </x:c>
      <x:c r="P56" s="28" t="n">
        <x:f>ROUNDDOWN(O56,0)</x:f>
        <x:v>0</x:v>
      </x:c>
      <x:c r="Q56" s="28" t="n">
        <x:f>ROUND(O56-P56,10)</x:f>
        <x:v>0</x:v>
      </x:c>
      <x:c r="R56" s="10" t="n">
        <x:f>IF(L56=1,0,COUNTIFS($A$5:$A$148,A56,$B$5:$B$148,B56,$L$5:$L$148,0,$Q$5:$Q$148,"&gt;"&amp;Q56)+COUNTIFS($A$5:$A$148,A56,$B$5:$B$148,B56,$L$5:$L$148,0,$Q$5:$Q$148,Q56,$C$5:$C$148,"&lt;"&amp;C56)+1)</x:f>
        <x:v>4</x:v>
      </x:c>
      <x:c r="S56" s="10" t="n">
        <x:f>ROUND(M56*100-SUMIFS($P$5:$P$148,$A$5:$A$148,A56,$B$5:$B$148,B56,$L$5:$L$148,0),0)</x:f>
        <x:v>1</x:v>
      </x:c>
      <x:c r="T56" s="16" t="n">
        <x:f>IF(L56=1,J56,(P56+IF(R56&lt;=S56,1,0))/100)</x:f>
        <x:v>0</x:v>
      </x:c>
      <x:c r="U56" s="30" t="n">
        <x:f>'项目计算'!S17</x:f>
        <x:v>0.2</x:v>
      </x:c>
      <x:c r="V56" s="16" t="n">
        <x:f>ROUND(T56*(1-U56),2)</x:f>
        <x:v>0</x:v>
      </x:c>
      <x:c r="W56" s="16" t="n">
        <x:f>T56-V56</x:f>
        <x:v>0</x:v>
      </x:c>
    </x:row>
    <x:row r="57" ht="22" customHeight="1">
      <x:c r="A57" s="1" t="str">
        <x:v>V2</x:v>
      </x:c>
      <x:c r="B57" s="1" t="str">
        <x:v>J02</x:v>
      </x:c>
      <x:c r="C57" s="1" t="str">
        <x:v>J02-U004</x:v>
      </x:c>
      <x:c r="D57" s="1" t="str">
        <x:v>U004</x:v>
      </x:c>
      <x:c r="E57" s="23" t="n">
        <x:v>83.5</x:v>
      </x:c>
      <x:c r="F57" s="23" t="n">
        <x:v>1.2</x:v>
      </x:c>
      <x:c r="G57" s="1" t="n">
        <x:v>92</x:v>
      </x:c>
      <x:c r="H57" s="1" t="n">
        <x:v>1</x:v>
      </x:c>
      <x:c r="I57" s="25" t="n">
        <x:f>E57*F57*G57/100*H57</x:f>
        <x:v>92.184</x:v>
      </x:c>
      <x:c r="J57" s="15"/>
      <x:c r="K57" s="17" t="n">
        <x:f>'项目计算'!R18</x:f>
        <x:v>17670</x:v>
      </x:c>
      <x:c r="L57" s="1" t="n">
        <x:v>0</x:v>
      </x:c>
      <x:c r="M57" s="15" t="n">
        <x:f>K57-SUMIFS($J$5:$J$148,$A$5:$A$148,A57,$B$5:$B$148,B57)</x:f>
        <x:v>17670</x:v>
      </x:c>
      <x:c r="N57" s="27" t="n">
        <x:f>SUMIFS($I$5:$I$148,$A$5:$A$148,A57,$B$5:$B$148,B57,$L$5:$L$148,0)</x:f>
        <x:v>264.649</x:v>
      </x:c>
      <x:c r="O57" s="27" t="n">
        <x:f>IF(L57=1,J57*100,IF(N57=0,0,M57*100*I57/N57))</x:f>
        <x:v>615491.1902179868</x:v>
      </x:c>
      <x:c r="P57" s="27" t="n">
        <x:f>ROUNDDOWN(O57,0)</x:f>
        <x:v>615491</x:v>
      </x:c>
      <x:c r="Q57" s="27" t="n">
        <x:f>ROUND(O57-P57,10)</x:f>
        <x:v>0.1902179868</x:v>
      </x:c>
      <x:c r="R57" s="1" t="n">
        <x:f>IF(L57=1,0,COUNTIFS($A$5:$A$148,A57,$B$5:$B$148,B57,$L$5:$L$148,0,$Q$5:$Q$148,"&gt;"&amp;Q57)+COUNTIFS($A$5:$A$148,A57,$B$5:$B$148,B57,$L$5:$L$148,0,$Q$5:$Q$148,Q57,$C$5:$C$148,"&lt;"&amp;C57)+1)</x:f>
        <x:v>3</x:v>
      </x:c>
      <x:c r="S57" s="1" t="n">
        <x:f>ROUND(M57*100-SUMIFS($P$5:$P$148,$A$5:$A$148,A57,$B$5:$B$148,B57,$L$5:$L$148,0),0)</x:f>
        <x:v>1</x:v>
      </x:c>
      <x:c r="T57" s="15" t="n">
        <x:f>IF(L57=1,J57,(P57+IF(R57&lt;=S57,1,0))/100)</x:f>
        <x:v>6154.91</x:v>
      </x:c>
      <x:c r="U57" s="29" t="n">
        <x:f>'项目计算'!S18</x:f>
        <x:v>0</x:v>
      </x:c>
      <x:c r="V57" s="15" t="n">
        <x:f>ROUND(T57*(1-U57),2)</x:f>
        <x:v>6154.91</x:v>
      </x:c>
      <x:c r="W57" s="15" t="n">
        <x:f>T57-V57</x:f>
        <x:v>0</x:v>
      </x:c>
    </x:row>
    <x:row r="58" ht="22" customHeight="1">
      <x:c r="A58" s="10" t="str">
        <x:v>V2</x:v>
      </x:c>
      <x:c r="B58" s="10" t="str">
        <x:v>J02</x:v>
      </x:c>
      <x:c r="C58" s="10" t="str">
        <x:v>J02-U005</x:v>
      </x:c>
      <x:c r="D58" s="10" t="str">
        <x:v>U005</x:v>
      </x:c>
      <x:c r="E58" s="24" t="n">
        <x:v>76.5</x:v>
      </x:c>
      <x:c r="F58" s="24" t="n">
        <x:v>1</x:v>
      </x:c>
      <x:c r="G58" s="10" t="n">
        <x:v>66</x:v>
      </x:c>
      <x:c r="H58" s="10" t="n">
        <x:v>1</x:v>
      </x:c>
      <x:c r="I58" s="26" t="n">
        <x:f>E58*F58*G58/100*H58</x:f>
        <x:v>50.49</x:v>
      </x:c>
      <x:c r="J58" s="16"/>
      <x:c r="K58" s="18" t="n">
        <x:f>'项目计算'!R18</x:f>
        <x:v>17670</x:v>
      </x:c>
      <x:c r="L58" s="10" t="n">
        <x:v>0</x:v>
      </x:c>
      <x:c r="M58" s="16" t="n">
        <x:f>K58-SUMIFS($J$5:$J$148,$A$5:$A$148,A58,$B$5:$B$148,B58)</x:f>
        <x:v>17670</x:v>
      </x:c>
      <x:c r="N58" s="28" t="n">
        <x:f>SUMIFS($I$5:$I$148,$A$5:$A$148,A58,$B$5:$B$148,B58,$L$5:$L$148,0)</x:f>
        <x:v>264.649</x:v>
      </x:c>
      <x:c r="O58" s="28" t="n">
        <x:f>IF(L58=1,J58*100,IF(N58=0,0,M58*100*I58/N58))</x:f>
        <x:v>337110.02119788853</x:v>
      </x:c>
      <x:c r="P58" s="28" t="n">
        <x:f>ROUNDDOWN(O58,0)</x:f>
        <x:v>337110</x:v>
      </x:c>
      <x:c r="Q58" s="28" t="n">
        <x:f>ROUND(O58-P58,10)</x:f>
        <x:v>0.0211978885</x:v>
      </x:c>
      <x:c r="R58" s="10" t="n">
        <x:f>IF(L58=1,0,COUNTIFS($A$5:$A$148,A58,$B$5:$B$148,B58,$L$5:$L$148,0,$Q$5:$Q$148,"&gt;"&amp;Q58)+COUNTIFS($A$5:$A$148,A58,$B$5:$B$148,B58,$L$5:$L$148,0,$Q$5:$Q$148,Q58,$C$5:$C$148,"&lt;"&amp;C58)+1)</x:f>
        <x:v>4</x:v>
      </x:c>
      <x:c r="S58" s="10" t="n">
        <x:f>ROUND(M58*100-SUMIFS($P$5:$P$148,$A$5:$A$148,A58,$B$5:$B$148,B58,$L$5:$L$148,0),0)</x:f>
        <x:v>1</x:v>
      </x:c>
      <x:c r="T58" s="16" t="n">
        <x:f>IF(L58=1,J58,(P58+IF(R58&lt;=S58,1,0))/100)</x:f>
        <x:v>3371.1</x:v>
      </x:c>
      <x:c r="U58" s="30" t="n">
        <x:f>'项目计算'!S18</x:f>
        <x:v>0</x:v>
      </x:c>
      <x:c r="V58" s="16" t="n">
        <x:f>ROUND(T58*(1-U58),2)</x:f>
        <x:v>3371.1</x:v>
      </x:c>
      <x:c r="W58" s="16" t="n">
        <x:f>T58-V58</x:f>
        <x:v>0</x:v>
      </x:c>
    </x:row>
    <x:row r="59" ht="22" customHeight="1">
      <x:c r="A59" s="1" t="str">
        <x:v>V2</x:v>
      </x:c>
      <x:c r="B59" s="1" t="str">
        <x:v>J02</x:v>
      </x:c>
      <x:c r="C59" s="1" t="str">
        <x:v>J02-U006</x:v>
      </x:c>
      <x:c r="D59" s="1" t="str">
        <x:v>U006</x:v>
      </x:c>
      <x:c r="E59" s="23" t="n">
        <x:v>61</x:v>
      </x:c>
      <x:c r="F59" s="23" t="n">
        <x:v>1.1</x:v>
      </x:c>
      <x:c r="G59" s="1" t="n">
        <x:v>77</x:v>
      </x:c>
      <x:c r="H59" s="1" t="n">
        <x:v>1</x:v>
      </x:c>
      <x:c r="I59" s="25" t="n">
        <x:f>E59*F59*G59/100*H59</x:f>
        <x:v>51.66700000000001</x:v>
      </x:c>
      <x:c r="J59" s="15"/>
      <x:c r="K59" s="17" t="n">
        <x:f>'项目计算'!R18</x:f>
        <x:v>17670</x:v>
      </x:c>
      <x:c r="L59" s="1" t="n">
        <x:v>0</x:v>
      </x:c>
      <x:c r="M59" s="15" t="n">
        <x:f>K59-SUMIFS($J$5:$J$148,$A$5:$A$148,A59,$B$5:$B$148,B59)</x:f>
        <x:v>17670</x:v>
      </x:c>
      <x:c r="N59" s="27" t="n">
        <x:f>SUMIFS($I$5:$I$148,$A$5:$A$148,A59,$B$5:$B$148,B59,$L$5:$L$148,0)</x:f>
        <x:v>264.649</x:v>
      </x:c>
      <x:c r="O59" s="27" t="n">
        <x:f>IF(L59=1,J59*100,IF(N59=0,0,M59*100*I59/N59))</x:f>
        <x:v>344968.5772475997</x:v>
      </x:c>
      <x:c r="P59" s="27" t="n">
        <x:f>ROUNDDOWN(O59,0)</x:f>
        <x:v>344968</x:v>
      </x:c>
      <x:c r="Q59" s="27" t="n">
        <x:f>ROUND(O59-P59,10)</x:f>
        <x:v>0.5772475997</x:v>
      </x:c>
      <x:c r="R59" s="1" t="n">
        <x:f>IF(L59=1,0,COUNTIFS($A$5:$A$148,A59,$B$5:$B$148,B59,$L$5:$L$148,0,$Q$5:$Q$148,"&gt;"&amp;Q59)+COUNTIFS($A$5:$A$148,A59,$B$5:$B$148,B59,$L$5:$L$148,0,$Q$5:$Q$148,Q59,$C$5:$C$148,"&lt;"&amp;C59)+1)</x:f>
        <x:v>1</x:v>
      </x:c>
      <x:c r="S59" s="1" t="n">
        <x:f>ROUND(M59*100-SUMIFS($P$5:$P$148,$A$5:$A$148,A59,$B$5:$B$148,B59,$L$5:$L$148,0),0)</x:f>
        <x:v>1</x:v>
      </x:c>
      <x:c r="T59" s="15" t="n">
        <x:f>IF(L59=1,J59,(P59+IF(R59&lt;=S59,1,0))/100)</x:f>
        <x:v>3449.69</x:v>
      </x:c>
      <x:c r="U59" s="29" t="n">
        <x:f>'项目计算'!S18</x:f>
        <x:v>0</x:v>
      </x:c>
      <x:c r="V59" s="15" t="n">
        <x:f>ROUND(T59*(1-U59),2)</x:f>
        <x:v>3449.69</x:v>
      </x:c>
      <x:c r="W59" s="15" t="n">
        <x:f>T59-V59</x:f>
        <x:v>0</x:v>
      </x:c>
    </x:row>
    <x:row r="60" ht="22" customHeight="1">
      <x:c r="A60" s="10" t="str">
        <x:v>V2</x:v>
      </x:c>
      <x:c r="B60" s="10" t="str">
        <x:v>J02</x:v>
      </x:c>
      <x:c r="C60" s="10" t="str">
        <x:v>J02-U007</x:v>
      </x:c>
      <x:c r="D60" s="10" t="str">
        <x:v>U007</x:v>
      </x:c>
      <x:c r="E60" s="24" t="n">
        <x:v>108.5</x:v>
      </x:c>
      <x:c r="F60" s="24" t="n">
        <x:v>0.9</x:v>
      </x:c>
      <x:c r="G60" s="10" t="n">
        <x:v>72</x:v>
      </x:c>
      <x:c r="H60" s="10" t="n">
        <x:v>1</x:v>
      </x:c>
      <x:c r="I60" s="26" t="n">
        <x:f>E60*F60*G60/100*H60</x:f>
        <x:v>70.308</x:v>
      </x:c>
      <x:c r="J60" s="16"/>
      <x:c r="K60" s="18" t="n">
        <x:f>'项目计算'!R18</x:f>
        <x:v>17670</x:v>
      </x:c>
      <x:c r="L60" s="10" t="n">
        <x:v>0</x:v>
      </x:c>
      <x:c r="M60" s="16" t="n">
        <x:f>K60-SUMIFS($J$5:$J$148,$A$5:$A$148,A60,$B$5:$B$148,B60)</x:f>
        <x:v>17670</x:v>
      </x:c>
      <x:c r="N60" s="28" t="n">
        <x:f>SUMIFS($I$5:$I$148,$A$5:$A$148,A60,$B$5:$B$148,B60,$L$5:$L$148,0)</x:f>
        <x:v>264.649</x:v>
      </x:c>
      <x:c r="O60" s="28" t="n">
        <x:f>IF(L60=1,J60*100,IF(N60=0,0,M60*100*I60/N60))</x:f>
        <x:v>469430.21133652504</x:v>
      </x:c>
      <x:c r="P60" s="28" t="n">
        <x:f>ROUNDDOWN(O60,0)</x:f>
        <x:v>469430</x:v>
      </x:c>
      <x:c r="Q60" s="28" t="n">
        <x:f>ROUND(O60-P60,10)</x:f>
        <x:v>0.211336525</x:v>
      </x:c>
      <x:c r="R60" s="10" t="n">
        <x:f>IF(L60=1,0,COUNTIFS($A$5:$A$148,A60,$B$5:$B$148,B60,$L$5:$L$148,0,$Q$5:$Q$148,"&gt;"&amp;Q60)+COUNTIFS($A$5:$A$148,A60,$B$5:$B$148,B60,$L$5:$L$148,0,$Q$5:$Q$148,Q60,$C$5:$C$148,"&lt;"&amp;C60)+1)</x:f>
        <x:v>2</x:v>
      </x:c>
      <x:c r="S60" s="10" t="n">
        <x:f>ROUND(M60*100-SUMIFS($P$5:$P$148,$A$5:$A$148,A60,$B$5:$B$148,B60,$L$5:$L$148,0),0)</x:f>
        <x:v>1</x:v>
      </x:c>
      <x:c r="T60" s="16" t="n">
        <x:f>IF(L60=1,J60,(P60+IF(R60&lt;=S60,1,0))/100)</x:f>
        <x:v>4694.3</x:v>
      </x:c>
      <x:c r="U60" s="30" t="n">
        <x:f>'项目计算'!S18</x:f>
        <x:v>0</x:v>
      </x:c>
      <x:c r="V60" s="16" t="n">
        <x:f>ROUND(T60*(1-U60),2)</x:f>
        <x:v>4694.3</x:v>
      </x:c>
      <x:c r="W60" s="16" t="n">
        <x:f>T60-V60</x:f>
        <x:v>0</x:v>
      </x:c>
    </x:row>
    <x:row r="61" ht="22" customHeight="1">
      <x:c r="A61" s="1" t="str">
        <x:v>V2</x:v>
      </x:c>
      <x:c r="B61" s="1" t="str">
        <x:v>J03</x:v>
      </x:c>
      <x:c r="C61" s="1" t="str">
        <x:v>J03-U007</x:v>
      </x:c>
      <x:c r="D61" s="1" t="str">
        <x:v>U007</x:v>
      </x:c>
      <x:c r="E61" s="23" t="n">
        <x:v>74.5</x:v>
      </x:c>
      <x:c r="F61" s="23" t="n">
        <x:v>1.2</x:v>
      </x:c>
      <x:c r="G61" s="1" t="n">
        <x:v>71</x:v>
      </x:c>
      <x:c r="H61" s="1" t="n">
        <x:v>1</x:v>
      </x:c>
      <x:c r="I61" s="25" t="n">
        <x:f>E61*F61*G61/100*H61</x:f>
        <x:v>63.474</x:v>
      </x:c>
      <x:c r="J61" s="15"/>
      <x:c r="K61" s="17" t="n">
        <x:f>'项目计算'!R19</x:f>
        <x:v>51244</x:v>
      </x:c>
      <x:c r="L61" s="1" t="n">
        <x:v>0</x:v>
      </x:c>
      <x:c r="M61" s="15" t="n">
        <x:f>K61-SUMIFS($J$5:$J$148,$A$5:$A$148,A61,$B$5:$B$148,B61)</x:f>
        <x:v>51244</x:v>
      </x:c>
      <x:c r="N61" s="27" t="n">
        <x:f>SUMIFS($I$5:$I$148,$A$5:$A$148,A61,$B$5:$B$148,B61,$L$5:$L$148,0)</x:f>
        <x:v>208.88</x:v>
      </x:c>
      <x:c r="O61" s="27" t="n">
        <x:f>IF(L61=1,J61*100,IF(N61=0,0,M61*100*I61/N61))</x:f>
        <x:v>1557191.5243201838</x:v>
      </x:c>
      <x:c r="P61" s="27" t="n">
        <x:f>ROUNDDOWN(O61,0)</x:f>
        <x:v>1557191</x:v>
      </x:c>
      <x:c r="Q61" s="27" t="n">
        <x:f>ROUND(O61-P61,10)</x:f>
        <x:v>0.5243201838</x:v>
      </x:c>
      <x:c r="R61" s="1" t="n">
        <x:f>IF(L61=1,0,COUNTIFS($A$5:$A$148,A61,$B$5:$B$148,B61,$L$5:$L$148,0,$Q$5:$Q$148,"&gt;"&amp;Q61)+COUNTIFS($A$5:$A$148,A61,$B$5:$B$148,B61,$L$5:$L$148,0,$Q$5:$Q$148,Q61,$C$5:$C$148,"&lt;"&amp;C61)+1)</x:f>
        <x:v>3</x:v>
      </x:c>
      <x:c r="S61" s="1" t="n">
        <x:f>ROUND(M61*100-SUMIFS($P$5:$P$148,$A$5:$A$148,A61,$B$5:$B$148,B61,$L$5:$L$148,0),0)</x:f>
        <x:v>2</x:v>
      </x:c>
      <x:c r="T61" s="15" t="n">
        <x:f>IF(L61=1,J61,(P61+IF(R61&lt;=S61,1,0))/100)</x:f>
        <x:v>15571.91</x:v>
      </x:c>
      <x:c r="U61" s="29" t="n">
        <x:f>'项目计算'!S19</x:f>
        <x:v>0.2</x:v>
      </x:c>
      <x:c r="V61" s="15" t="n">
        <x:f>ROUND(T61*(1-U61),2)</x:f>
        <x:v>12457.53</x:v>
      </x:c>
      <x:c r="W61" s="15" t="n">
        <x:f>T61-V61</x:f>
        <x:v>3114.379999999999</x:v>
      </x:c>
    </x:row>
    <x:row r="62" ht="22" customHeight="1">
      <x:c r="A62" s="10" t="str">
        <x:v>V2</x:v>
      </x:c>
      <x:c r="B62" s="10" t="str">
        <x:v>J03</x:v>
      </x:c>
      <x:c r="C62" s="10" t="str">
        <x:v>J03-U008</x:v>
      </x:c>
      <x:c r="D62" s="10" t="str">
        <x:v>U008</x:v>
      </x:c>
      <x:c r="E62" s="24" t="n">
        <x:v>88.5</x:v>
      </x:c>
      <x:c r="F62" s="24" t="n">
        <x:v>1</x:v>
      </x:c>
      <x:c r="G62" s="10" t="n">
        <x:v>72</x:v>
      </x:c>
      <x:c r="H62" s="10" t="n">
        <x:v>1</x:v>
      </x:c>
      <x:c r="I62" s="26" t="n">
        <x:f>E62*F62*G62/100*H62</x:f>
        <x:v>63.72</x:v>
      </x:c>
      <x:c r="J62" s="16"/>
      <x:c r="K62" s="18" t="n">
        <x:f>'项目计算'!R19</x:f>
        <x:v>51244</x:v>
      </x:c>
      <x:c r="L62" s="10" t="n">
        <x:v>0</x:v>
      </x:c>
      <x:c r="M62" s="16" t="n">
        <x:f>K62-SUMIFS($J$5:$J$148,$A$5:$A$148,A62,$B$5:$B$148,B62)</x:f>
        <x:v>51244</x:v>
      </x:c>
      <x:c r="N62" s="28" t="n">
        <x:f>SUMIFS($I$5:$I$148,$A$5:$A$148,A62,$B$5:$B$148,B62,$L$5:$L$148,0)</x:f>
        <x:v>208.88</x:v>
      </x:c>
      <x:c r="O62" s="28" t="n">
        <x:f>IF(L62=1,J62*100,IF(N62=0,0,M62*100*I62/N62))</x:f>
        <x:v>1563226.5798544618</x:v>
      </x:c>
      <x:c r="P62" s="28" t="n">
        <x:f>ROUNDDOWN(O62,0)</x:f>
        <x:v>1563226</x:v>
      </x:c>
      <x:c r="Q62" s="28" t="n">
        <x:f>ROUND(O62-P62,10)</x:f>
        <x:v>0.5798544618</x:v>
      </x:c>
      <x:c r="R62" s="10" t="n">
        <x:f>IF(L62=1,0,COUNTIFS($A$5:$A$148,A62,$B$5:$B$148,B62,$L$5:$L$148,0,$Q$5:$Q$148,"&gt;"&amp;Q62)+COUNTIFS($A$5:$A$148,A62,$B$5:$B$148,B62,$L$5:$L$148,0,$Q$5:$Q$148,Q62,$C$5:$C$148,"&lt;"&amp;C62)+1)</x:f>
        <x:v>2</x:v>
      </x:c>
      <x:c r="S62" s="10" t="n">
        <x:f>ROUND(M62*100-SUMIFS($P$5:$P$148,$A$5:$A$148,A62,$B$5:$B$148,B62,$L$5:$L$148,0),0)</x:f>
        <x:v>2</x:v>
      </x:c>
      <x:c r="T62" s="16" t="n">
        <x:f>IF(L62=1,J62,(P62+IF(R62&lt;=S62,1,0))/100)</x:f>
        <x:v>15632.27</x:v>
      </x:c>
      <x:c r="U62" s="30" t="n">
        <x:f>'项目计算'!S19</x:f>
        <x:v>0.2</x:v>
      </x:c>
      <x:c r="V62" s="16" t="n">
        <x:f>ROUND(T62*(1-U62),2)</x:f>
        <x:v>12505.82</x:v>
      </x:c>
      <x:c r="W62" s="16" t="n">
        <x:f>T62-V62</x:f>
        <x:v>3126.4500000000007</x:v>
      </x:c>
    </x:row>
    <x:row r="63" ht="22" customHeight="1">
      <x:c r="A63" s="1" t="str">
        <x:v>V2</x:v>
      </x:c>
      <x:c r="B63" s="1" t="str">
        <x:v>J03</x:v>
      </x:c>
      <x:c r="C63" s="1" t="str">
        <x:v>J03-U009</x:v>
      </x:c>
      <x:c r="D63" s="1" t="str">
        <x:v>U009</x:v>
      </x:c>
      <x:c r="E63" s="23" t="n">
        <x:v>79</x:v>
      </x:c>
      <x:c r="F63" s="23" t="n">
        <x:v>1.1</x:v>
      </x:c>
      <x:c r="G63" s="1" t="n">
        <x:v>94</x:v>
      </x:c>
      <x:c r="H63" s="1" t="n">
        <x:v>1</x:v>
      </x:c>
      <x:c r="I63" s="25" t="n">
        <x:f>E63*F63*G63/100*H63</x:f>
        <x:v>81.686</x:v>
      </x:c>
      <x:c r="J63" s="15"/>
      <x:c r="K63" s="17" t="n">
        <x:f>'项目计算'!R19</x:f>
        <x:v>51244</x:v>
      </x:c>
      <x:c r="L63" s="1" t="n">
        <x:v>0</x:v>
      </x:c>
      <x:c r="M63" s="15" t="n">
        <x:f>K63-SUMIFS($J$5:$J$148,$A$5:$A$148,A63,$B$5:$B$148,B63)</x:f>
        <x:v>51244</x:v>
      </x:c>
      <x:c r="N63" s="27" t="n">
        <x:f>SUMIFS($I$5:$I$148,$A$5:$A$148,A63,$B$5:$B$148,B63,$L$5:$L$148,0)</x:f>
        <x:v>208.88</x:v>
      </x:c>
      <x:c r="O63" s="27" t="n">
        <x:f>IF(L63=1,J63*100,IF(N63=0,0,M63*100*I63/N63))</x:f>
        <x:v>2003981.8958253544</x:v>
      </x:c>
      <x:c r="P63" s="27" t="n">
        <x:f>ROUNDDOWN(O63,0)</x:f>
        <x:v>2003981</x:v>
      </x:c>
      <x:c r="Q63" s="27" t="n">
        <x:f>ROUND(O63-P63,10)</x:f>
        <x:v>0.8958253544</x:v>
      </x:c>
      <x:c r="R63" s="1" t="n">
        <x:f>IF(L63=1,0,COUNTIFS($A$5:$A$148,A63,$B$5:$B$148,B63,$L$5:$L$148,0,$Q$5:$Q$148,"&gt;"&amp;Q63)+COUNTIFS($A$5:$A$148,A63,$B$5:$B$148,B63,$L$5:$L$148,0,$Q$5:$Q$148,Q63,$C$5:$C$148,"&lt;"&amp;C63)+1)</x:f>
        <x:v>1</x:v>
      </x:c>
      <x:c r="S63" s="1" t="n">
        <x:f>ROUND(M63*100-SUMIFS($P$5:$P$148,$A$5:$A$148,A63,$B$5:$B$148,B63,$L$5:$L$148,0),0)</x:f>
        <x:v>2</x:v>
      </x:c>
      <x:c r="T63" s="15" t="n">
        <x:f>IF(L63=1,J63,(P63+IF(R63&lt;=S63,1,0))/100)</x:f>
        <x:v>20039.82</x:v>
      </x:c>
      <x:c r="U63" s="29" t="n">
        <x:f>'项目计算'!S19</x:f>
        <x:v>0.2</x:v>
      </x:c>
      <x:c r="V63" s="15" t="n">
        <x:f>ROUND(T63*(1-U63),2)</x:f>
        <x:v>16031.86</x:v>
      </x:c>
      <x:c r="W63" s="15" t="n">
        <x:f>T63-V63</x:f>
        <x:v>4007.959999999999</x:v>
      </x:c>
    </x:row>
    <x:row r="64" ht="22" customHeight="1">
      <x:c r="A64" s="10" t="str">
        <x:v>V2</x:v>
      </x:c>
      <x:c r="B64" s="10" t="str">
        <x:v>J03</x:v>
      </x:c>
      <x:c r="C64" s="10" t="str">
        <x:v>J03-U010</x:v>
      </x:c>
      <x:c r="D64" s="10" t="str">
        <x:v>U010</x:v>
      </x:c>
      <x:c r="E64" s="24" t="n">
        <x:v>136.5</x:v>
      </x:c>
      <x:c r="F64" s="24" t="n">
        <x:v>0.9</x:v>
      </x:c>
      <x:c r="G64" s="10" t="n">
        <x:v>90</x:v>
      </x:c>
      <x:c r="H64" s="10" t="n">
        <x:v>0</x:v>
      </x:c>
      <x:c r="I64" s="26" t="n">
        <x:f>E64*F64*G64/100*H64</x:f>
        <x:v>0</x:v>
      </x:c>
      <x:c r="J64" s="16"/>
      <x:c r="K64" s="18" t="n">
        <x:f>'项目计算'!R19</x:f>
        <x:v>51244</x:v>
      </x:c>
      <x:c r="L64" s="10" t="n">
        <x:v>0</x:v>
      </x:c>
      <x:c r="M64" s="16" t="n">
        <x:f>K64-SUMIFS($J$5:$J$148,$A$5:$A$148,A64,$B$5:$B$148,B64)</x:f>
        <x:v>51244</x:v>
      </x:c>
      <x:c r="N64" s="28" t="n">
        <x:f>SUMIFS($I$5:$I$148,$A$5:$A$148,A64,$B$5:$B$148,B64,$L$5:$L$148,0)</x:f>
        <x:v>208.88</x:v>
      </x:c>
      <x:c r="O64" s="28" t="n">
        <x:f>IF(L64=1,J64*100,IF(N64=0,0,M64*100*I64/N64))</x:f>
        <x:v>0</x:v>
      </x:c>
      <x:c r="P64" s="28" t="n">
        <x:f>ROUNDDOWN(O64,0)</x:f>
        <x:v>0</x:v>
      </x:c>
      <x:c r="Q64" s="28" t="n">
        <x:f>ROUND(O64-P64,10)</x:f>
        <x:v>0</x:v>
      </x:c>
      <x:c r="R64" s="10" t="n">
        <x:f>IF(L64=1,0,COUNTIFS($A$5:$A$148,A64,$B$5:$B$148,B64,$L$5:$L$148,0,$Q$5:$Q$148,"&gt;"&amp;Q64)+COUNTIFS($A$5:$A$148,A64,$B$5:$B$148,B64,$L$5:$L$148,0,$Q$5:$Q$148,Q64,$C$5:$C$148,"&lt;"&amp;C64)+1)</x:f>
        <x:v>4</x:v>
      </x:c>
      <x:c r="S64" s="10" t="n">
        <x:f>ROUND(M64*100-SUMIFS($P$5:$P$148,$A$5:$A$148,A64,$B$5:$B$148,B64,$L$5:$L$148,0),0)</x:f>
        <x:v>2</x:v>
      </x:c>
      <x:c r="T64" s="16" t="n">
        <x:f>IF(L64=1,J64,(P64+IF(R64&lt;=S64,1,0))/100)</x:f>
        <x:v>0</x:v>
      </x:c>
      <x:c r="U64" s="30" t="n">
        <x:f>'项目计算'!S19</x:f>
        <x:v>0.2</x:v>
      </x:c>
      <x:c r="V64" s="16" t="n">
        <x:f>ROUND(T64*(1-U64),2)</x:f>
        <x:v>0</x:v>
      </x:c>
      <x:c r="W64" s="16" t="n">
        <x:f>T64-V64</x:f>
        <x:v>0</x:v>
      </x:c>
    </x:row>
    <x:row r="65" ht="22" customHeight="1">
      <x:c r="A65" s="1" t="str">
        <x:v>V2</x:v>
      </x:c>
      <x:c r="B65" s="1" t="str">
        <x:v>J04</x:v>
      </x:c>
      <x:c r="C65" s="1" t="str">
        <x:v>J04-U010</x:v>
      </x:c>
      <x:c r="D65" s="1" t="str">
        <x:v>U010</x:v>
      </x:c>
      <x:c r="E65" s="23" t="n">
        <x:v>124.5</x:v>
      </x:c>
      <x:c r="F65" s="23" t="n">
        <x:v>1.2</x:v>
      </x:c>
      <x:c r="G65" s="1" t="n">
        <x:v>91</x:v>
      </x:c>
      <x:c r="H65" s="1" t="n">
        <x:v>1</x:v>
      </x:c>
      <x:c r="I65" s="25" t="n">
        <x:f>E65*F65*G65/100*H65</x:f>
        <x:v>135.954</x:v>
      </x:c>
      <x:c r="J65" s="15"/>
      <x:c r="K65" s="17" t="n">
        <x:f>'项目计算'!R20</x:f>
        <x:v>0</x:v>
      </x:c>
      <x:c r="L65" s="1" t="n">
        <x:v>0</x:v>
      </x:c>
      <x:c r="M65" s="15" t="n">
        <x:f>K65-SUMIFS($J$5:$J$148,$A$5:$A$148,A65,$B$5:$B$148,B65)</x:f>
        <x:v>0</x:v>
      </x:c>
      <x:c r="N65" s="27" t="n">
        <x:f>SUMIFS($I$5:$I$148,$A$5:$A$148,A65,$B$5:$B$148,B65,$L$5:$L$148,0)</x:f>
        <x:v>439.793</x:v>
      </x:c>
      <x:c r="O65" s="27" t="n">
        <x:f>IF(L65=1,J65*100,IF(N65=0,0,M65*100*I65/N65))</x:f>
        <x:v>0</x:v>
      </x:c>
      <x:c r="P65" s="27" t="n">
        <x:f>ROUNDDOWN(O65,0)</x:f>
        <x:v>0</x:v>
      </x:c>
      <x:c r="Q65" s="27" t="n">
        <x:f>ROUND(O65-P65,10)</x:f>
        <x:v>0</x:v>
      </x:c>
      <x:c r="R65" s="1" t="n">
        <x:f>IF(L65=1,0,COUNTIFS($A$5:$A$148,A65,$B$5:$B$148,B65,$L$5:$L$148,0,$Q$5:$Q$148,"&gt;"&amp;Q65)+COUNTIFS($A$5:$A$148,A65,$B$5:$B$148,B65,$L$5:$L$148,0,$Q$5:$Q$148,Q65,$C$5:$C$148,"&lt;"&amp;C65)+1)</x:f>
        <x:v>1</x:v>
      </x:c>
      <x:c r="S65" s="1" t="n">
        <x:f>ROUND(M65*100-SUMIFS($P$5:$P$148,$A$5:$A$148,A65,$B$5:$B$148,B65,$L$5:$L$148,0),0)</x:f>
        <x:v>0</x:v>
      </x:c>
      <x:c r="T65" s="15" t="n">
        <x:f>IF(L65=1,J65,(P65+IF(R65&lt;=S65,1,0))/100)</x:f>
        <x:v>0</x:v>
      </x:c>
      <x:c r="U65" s="29" t="n">
        <x:f>'项目计算'!S20</x:f>
        <x:v>0</x:v>
      </x:c>
      <x:c r="V65" s="15" t="n">
        <x:f>ROUND(T65*(1-U65),2)</x:f>
        <x:v>0</x:v>
      </x:c>
      <x:c r="W65" s="15" t="n">
        <x:f>T65-V65</x:f>
        <x:v>0</x:v>
      </x:c>
    </x:row>
    <x:row r="66" ht="22" customHeight="1">
      <x:c r="A66" s="10" t="str">
        <x:v>V2</x:v>
      </x:c>
      <x:c r="B66" s="10" t="str">
        <x:v>J04</x:v>
      </x:c>
      <x:c r="C66" s="10" t="str">
        <x:v>J04-U011</x:v>
      </x:c>
      <x:c r="D66" s="10" t="str">
        <x:v>U011</x:v>
      </x:c>
      <x:c r="E66" s="24" t="n">
        <x:v>134.5</x:v>
      </x:c>
      <x:c r="F66" s="24" t="n">
        <x:v>1</x:v>
      </x:c>
      <x:c r="G66" s="10" t="n">
        <x:v>98</x:v>
      </x:c>
      <x:c r="H66" s="10" t="n">
        <x:v>1</x:v>
      </x:c>
      <x:c r="I66" s="26" t="n">
        <x:f>E66*F66*G66/100*H66</x:f>
        <x:v>131.81</x:v>
      </x:c>
      <x:c r="J66" s="16"/>
      <x:c r="K66" s="18" t="n">
        <x:f>'项目计算'!R20</x:f>
        <x:v>0</x:v>
      </x:c>
      <x:c r="L66" s="10" t="n">
        <x:v>0</x:v>
      </x:c>
      <x:c r="M66" s="16" t="n">
        <x:f>K66-SUMIFS($J$5:$J$148,$A$5:$A$148,A66,$B$5:$B$148,B66)</x:f>
        <x:v>0</x:v>
      </x:c>
      <x:c r="N66" s="28" t="n">
        <x:f>SUMIFS($I$5:$I$148,$A$5:$A$148,A66,$B$5:$B$148,B66,$L$5:$L$148,0)</x:f>
        <x:v>439.793</x:v>
      </x:c>
      <x:c r="O66" s="28" t="n">
        <x:f>IF(L66=1,J66*100,IF(N66=0,0,M66*100*I66/N66))</x:f>
        <x:v>0</x:v>
      </x:c>
      <x:c r="P66" s="28" t="n">
        <x:f>ROUNDDOWN(O66,0)</x:f>
        <x:v>0</x:v>
      </x:c>
      <x:c r="Q66" s="28" t="n">
        <x:f>ROUND(O66-P66,10)</x:f>
        <x:v>0</x:v>
      </x:c>
      <x:c r="R66" s="10" t="n">
        <x:f>IF(L66=1,0,COUNTIFS($A$5:$A$148,A66,$B$5:$B$148,B66,$L$5:$L$148,0,$Q$5:$Q$148,"&gt;"&amp;Q66)+COUNTIFS($A$5:$A$148,A66,$B$5:$B$148,B66,$L$5:$L$148,0,$Q$5:$Q$148,Q66,$C$5:$C$148,"&lt;"&amp;C66)+1)</x:f>
        <x:v>2</x:v>
      </x:c>
      <x:c r="S66" s="10" t="n">
        <x:f>ROUND(M66*100-SUMIFS($P$5:$P$148,$A$5:$A$148,A66,$B$5:$B$148,B66,$L$5:$L$148,0),0)</x:f>
        <x:v>0</x:v>
      </x:c>
      <x:c r="T66" s="16" t="n">
        <x:f>IF(L66=1,J66,(P66+IF(R66&lt;=S66,1,0))/100)</x:f>
        <x:v>0</x:v>
      </x:c>
      <x:c r="U66" s="30" t="n">
        <x:f>'项目计算'!S20</x:f>
        <x:v>0</x:v>
      </x:c>
      <x:c r="V66" s="16" t="n">
        <x:f>ROUND(T66*(1-U66),2)</x:f>
        <x:v>0</x:v>
      </x:c>
      <x:c r="W66" s="16" t="n">
        <x:f>T66-V66</x:f>
        <x:v>0</x:v>
      </x:c>
    </x:row>
    <x:row r="67" ht="22" customHeight="1">
      <x:c r="A67" s="1" t="str">
        <x:v>V2</x:v>
      </x:c>
      <x:c r="B67" s="1" t="str">
        <x:v>J04</x:v>
      </x:c>
      <x:c r="C67" s="1" t="str">
        <x:v>J04-U012</x:v>
      </x:c>
      <x:c r="D67" s="1" t="str">
        <x:v>U012</x:v>
      </x:c>
      <x:c r="E67" s="23" t="n">
        <x:v>61</x:v>
      </x:c>
      <x:c r="F67" s="23" t="n">
        <x:v>1.1</x:v>
      </x:c>
      <x:c r="G67" s="1" t="n">
        <x:v>87</x:v>
      </x:c>
      <x:c r="H67" s="1" t="n">
        <x:v>1</x:v>
      </x:c>
      <x:c r="I67" s="25" t="n">
        <x:f>E67*F67*G67/100*H67</x:f>
        <x:v>58.37700000000001</x:v>
      </x:c>
      <x:c r="J67" s="15"/>
      <x:c r="K67" s="17" t="n">
        <x:f>'项目计算'!R20</x:f>
        <x:v>0</x:v>
      </x:c>
      <x:c r="L67" s="1" t="n">
        <x:v>0</x:v>
      </x:c>
      <x:c r="M67" s="15" t="n">
        <x:f>K67-SUMIFS($J$5:$J$148,$A$5:$A$148,A67,$B$5:$B$148,B67)</x:f>
        <x:v>0</x:v>
      </x:c>
      <x:c r="N67" s="27" t="n">
        <x:f>SUMIFS($I$5:$I$148,$A$5:$A$148,A67,$B$5:$B$148,B67,$L$5:$L$148,0)</x:f>
        <x:v>439.793</x:v>
      </x:c>
      <x:c r="O67" s="27" t="n">
        <x:f>IF(L67=1,J67*100,IF(N67=0,0,M67*100*I67/N67))</x:f>
        <x:v>0</x:v>
      </x:c>
      <x:c r="P67" s="27" t="n">
        <x:f>ROUNDDOWN(O67,0)</x:f>
        <x:v>0</x:v>
      </x:c>
      <x:c r="Q67" s="27" t="n">
        <x:f>ROUND(O67-P67,10)</x:f>
        <x:v>0</x:v>
      </x:c>
      <x:c r="R67" s="1" t="n">
        <x:f>IF(L67=1,0,COUNTIFS($A$5:$A$148,A67,$B$5:$B$148,B67,$L$5:$L$148,0,$Q$5:$Q$148,"&gt;"&amp;Q67)+COUNTIFS($A$5:$A$148,A67,$B$5:$B$148,B67,$L$5:$L$148,0,$Q$5:$Q$148,Q67,$C$5:$C$148,"&lt;"&amp;C67)+1)</x:f>
        <x:v>3</x:v>
      </x:c>
      <x:c r="S67" s="1" t="n">
        <x:f>ROUND(M67*100-SUMIFS($P$5:$P$148,$A$5:$A$148,A67,$B$5:$B$148,B67,$L$5:$L$148,0),0)</x:f>
        <x:v>0</x:v>
      </x:c>
      <x:c r="T67" s="15" t="n">
        <x:f>IF(L67=1,J67,(P67+IF(R67&lt;=S67,1,0))/100)</x:f>
        <x:v>0</x:v>
      </x:c>
      <x:c r="U67" s="29" t="n">
        <x:f>'项目计算'!S20</x:f>
        <x:v>0</x:v>
      </x:c>
      <x:c r="V67" s="15" t="n">
        <x:f>ROUND(T67*(1-U67),2)</x:f>
        <x:v>0</x:v>
      </x:c>
      <x:c r="W67" s="15" t="n">
        <x:f>T67-V67</x:f>
        <x:v>0</x:v>
      </x:c>
    </x:row>
    <x:row r="68" ht="22" customHeight="1">
      <x:c r="A68" s="10" t="str">
        <x:v>V2</x:v>
      </x:c>
      <x:c r="B68" s="10" t="str">
        <x:v>J04</x:v>
      </x:c>
      <x:c r="C68" s="10" t="str">
        <x:v>J04-U013</x:v>
      </x:c>
      <x:c r="D68" s="10" t="str">
        <x:v>U013</x:v>
      </x:c>
      <x:c r="E68" s="24" t="n">
        <x:v>143.5</x:v>
      </x:c>
      <x:c r="F68" s="24" t="n">
        <x:v>0.9</x:v>
      </x:c>
      <x:c r="G68" s="10" t="n">
        <x:v>88</x:v>
      </x:c>
      <x:c r="H68" s="10" t="n">
        <x:v>1</x:v>
      </x:c>
      <x:c r="I68" s="26" t="n">
        <x:f>E68*F68*G68/100*H68</x:f>
        <x:v>113.652</x:v>
      </x:c>
      <x:c r="J68" s="16"/>
      <x:c r="K68" s="18" t="n">
        <x:f>'项目计算'!R20</x:f>
        <x:v>0</x:v>
      </x:c>
      <x:c r="L68" s="10" t="n">
        <x:v>0</x:v>
      </x:c>
      <x:c r="M68" s="16" t="n">
        <x:f>K68-SUMIFS($J$5:$J$148,$A$5:$A$148,A68,$B$5:$B$148,B68)</x:f>
        <x:v>0</x:v>
      </x:c>
      <x:c r="N68" s="28" t="n">
        <x:f>SUMIFS($I$5:$I$148,$A$5:$A$148,A68,$B$5:$B$148,B68,$L$5:$L$148,0)</x:f>
        <x:v>439.793</x:v>
      </x:c>
      <x:c r="O68" s="28" t="n">
        <x:f>IF(L68=1,J68*100,IF(N68=0,0,M68*100*I68/N68))</x:f>
        <x:v>0</x:v>
      </x:c>
      <x:c r="P68" s="28" t="n">
        <x:f>ROUNDDOWN(O68,0)</x:f>
        <x:v>0</x:v>
      </x:c>
      <x:c r="Q68" s="28" t="n">
        <x:f>ROUND(O68-P68,10)</x:f>
        <x:v>0</x:v>
      </x:c>
      <x:c r="R68" s="10" t="n">
        <x:f>IF(L68=1,0,COUNTIFS($A$5:$A$148,A68,$B$5:$B$148,B68,$L$5:$L$148,0,$Q$5:$Q$148,"&gt;"&amp;Q68)+COUNTIFS($A$5:$A$148,A68,$B$5:$B$148,B68,$L$5:$L$148,0,$Q$5:$Q$148,Q68,$C$5:$C$148,"&lt;"&amp;C68)+1)</x:f>
        <x:v>4</x:v>
      </x:c>
      <x:c r="S68" s="10" t="n">
        <x:f>ROUND(M68*100-SUMIFS($P$5:$P$148,$A$5:$A$148,A68,$B$5:$B$148,B68,$L$5:$L$148,0),0)</x:f>
        <x:v>0</x:v>
      </x:c>
      <x:c r="T68" s="16" t="n">
        <x:f>IF(L68=1,J68,(P68+IF(R68&lt;=S68,1,0))/100)</x:f>
        <x:v>0</x:v>
      </x:c>
      <x:c r="U68" s="30" t="n">
        <x:f>'项目计算'!S20</x:f>
        <x:v>0</x:v>
      </x:c>
      <x:c r="V68" s="16" t="n">
        <x:f>ROUND(T68*(1-U68),2)</x:f>
        <x:v>0</x:v>
      </x:c>
      <x:c r="W68" s="16" t="n">
        <x:f>T68-V68</x:f>
        <x:v>0</x:v>
      </x:c>
    </x:row>
    <x:row r="69" ht="22" customHeight="1">
      <x:c r="A69" s="1" t="str">
        <x:v>V2</x:v>
      </x:c>
      <x:c r="B69" s="1" t="str">
        <x:v>J05</x:v>
      </x:c>
      <x:c r="C69" s="1" t="str">
        <x:v>J05-U013</x:v>
      </x:c>
      <x:c r="D69" s="1" t="str">
        <x:v>U013</x:v>
      </x:c>
      <x:c r="E69" s="23" t="n">
        <x:v>119.5</x:v>
      </x:c>
      <x:c r="F69" s="23" t="n">
        <x:v>1.2</x:v>
      </x:c>
      <x:c r="G69" s="1" t="n">
        <x:v>83</x:v>
      </x:c>
      <x:c r="H69" s="1" t="n">
        <x:v>1</x:v>
      </x:c>
      <x:c r="I69" s="25" t="n">
        <x:f>E69*F69*G69/100*H69</x:f>
        <x:v>119.022</x:v>
      </x:c>
      <x:c r="J69" s="15"/>
      <x:c r="K69" s="17" t="n">
        <x:f>'项目计算'!R21</x:f>
        <x:v>0</x:v>
      </x:c>
      <x:c r="L69" s="1" t="n">
        <x:v>0</x:v>
      </x:c>
      <x:c r="M69" s="15" t="n">
        <x:f>K69-SUMIFS($J$5:$J$148,$A$5:$A$148,A69,$B$5:$B$148,B69)</x:f>
        <x:v>0</x:v>
      </x:c>
      <x:c r="N69" s="27" t="n">
        <x:f>SUMIFS($I$5:$I$148,$A$5:$A$148,A69,$B$5:$B$148,B69,$L$5:$L$148,0)</x:f>
        <x:v>380.947</x:v>
      </x:c>
      <x:c r="O69" s="27" t="n">
        <x:f>IF(L69=1,J69*100,IF(N69=0,0,M69*100*I69/N69))</x:f>
        <x:v>0</x:v>
      </x:c>
      <x:c r="P69" s="27" t="n">
        <x:f>ROUNDDOWN(O69,0)</x:f>
        <x:v>0</x:v>
      </x:c>
      <x:c r="Q69" s="27" t="n">
        <x:f>ROUND(O69-P69,10)</x:f>
        <x:v>0</x:v>
      </x:c>
      <x:c r="R69" s="1" t="n">
        <x:f>IF(L69=1,0,COUNTIFS($A$5:$A$148,A69,$B$5:$B$148,B69,$L$5:$L$148,0,$Q$5:$Q$148,"&gt;"&amp;Q69)+COUNTIFS($A$5:$A$148,A69,$B$5:$B$148,B69,$L$5:$L$148,0,$Q$5:$Q$148,Q69,$C$5:$C$148,"&lt;"&amp;C69)+1)</x:f>
        <x:v>1</x:v>
      </x:c>
      <x:c r="S69" s="1" t="n">
        <x:f>ROUND(M69*100-SUMIFS($P$5:$P$148,$A$5:$A$148,A69,$B$5:$B$148,B69,$L$5:$L$148,0),0)</x:f>
        <x:v>0</x:v>
      </x:c>
      <x:c r="T69" s="15" t="n">
        <x:f>IF(L69=1,J69,(P69+IF(R69&lt;=S69,1,0))/100)</x:f>
        <x:v>0</x:v>
      </x:c>
      <x:c r="U69" s="29" t="n">
        <x:f>'项目计算'!S21</x:f>
        <x:v>0.2</x:v>
      </x:c>
      <x:c r="V69" s="15" t="n">
        <x:f>ROUND(T69*(1-U69),2)</x:f>
        <x:v>0</x:v>
      </x:c>
      <x:c r="W69" s="15" t="n">
        <x:f>T69-V69</x:f>
        <x:v>0</x:v>
      </x:c>
    </x:row>
    <x:row r="70" ht="22" customHeight="1">
      <x:c r="A70" s="10" t="str">
        <x:v>V2</x:v>
      </x:c>
      <x:c r="B70" s="10" t="str">
        <x:v>J05</x:v>
      </x:c>
      <x:c r="C70" s="10" t="str">
        <x:v>J05-U014</x:v>
      </x:c>
      <x:c r="D70" s="10" t="str">
        <x:v>U014</x:v>
      </x:c>
      <x:c r="E70" s="24" t="n">
        <x:v>110.5</x:v>
      </x:c>
      <x:c r="F70" s="24" t="n">
        <x:v>1</x:v>
      </x:c>
      <x:c r="G70" s="10" t="n">
        <x:v>80</x:v>
      </x:c>
      <x:c r="H70" s="10" t="n">
        <x:v>1</x:v>
      </x:c>
      <x:c r="I70" s="26" t="n">
        <x:f>E70*F70*G70/100*H70</x:f>
        <x:v>88.4</x:v>
      </x:c>
      <x:c r="J70" s="16"/>
      <x:c r="K70" s="18" t="n">
        <x:f>'项目计算'!R21</x:f>
        <x:v>0</x:v>
      </x:c>
      <x:c r="L70" s="10" t="n">
        <x:v>0</x:v>
      </x:c>
      <x:c r="M70" s="16" t="n">
        <x:f>K70-SUMIFS($J$5:$J$148,$A$5:$A$148,A70,$B$5:$B$148,B70)</x:f>
        <x:v>0</x:v>
      </x:c>
      <x:c r="N70" s="28" t="n">
        <x:f>SUMIFS($I$5:$I$148,$A$5:$A$148,A70,$B$5:$B$148,B70,$L$5:$L$148,0)</x:f>
        <x:v>380.947</x:v>
      </x:c>
      <x:c r="O70" s="28" t="n">
        <x:f>IF(L70=1,J70*100,IF(N70=0,0,M70*100*I70/N70))</x:f>
        <x:v>0</x:v>
      </x:c>
      <x:c r="P70" s="28" t="n">
        <x:f>ROUNDDOWN(O70,0)</x:f>
        <x:v>0</x:v>
      </x:c>
      <x:c r="Q70" s="28" t="n">
        <x:f>ROUND(O70-P70,10)</x:f>
        <x:v>0</x:v>
      </x:c>
      <x:c r="R70" s="10" t="n">
        <x:f>IF(L70=1,0,COUNTIFS($A$5:$A$148,A70,$B$5:$B$148,B70,$L$5:$L$148,0,$Q$5:$Q$148,"&gt;"&amp;Q70)+COUNTIFS($A$5:$A$148,A70,$B$5:$B$148,B70,$L$5:$L$148,0,$Q$5:$Q$148,Q70,$C$5:$C$148,"&lt;"&amp;C70)+1)</x:f>
        <x:v>2</x:v>
      </x:c>
      <x:c r="S70" s="10" t="n">
        <x:f>ROUND(M70*100-SUMIFS($P$5:$P$148,$A$5:$A$148,A70,$B$5:$B$148,B70,$L$5:$L$148,0),0)</x:f>
        <x:v>0</x:v>
      </x:c>
      <x:c r="T70" s="16" t="n">
        <x:f>IF(L70=1,J70,(P70+IF(R70&lt;=S70,1,0))/100)</x:f>
        <x:v>0</x:v>
      </x:c>
      <x:c r="U70" s="30" t="n">
        <x:f>'项目计算'!S21</x:f>
        <x:v>0.2</x:v>
      </x:c>
      <x:c r="V70" s="16" t="n">
        <x:f>ROUND(T70*(1-U70),2)</x:f>
        <x:v>0</x:v>
      </x:c>
      <x:c r="W70" s="16" t="n">
        <x:f>T70-V70</x:f>
        <x:v>0</x:v>
      </x:c>
    </x:row>
    <x:row r="71" ht="22" customHeight="1">
      <x:c r="A71" s="1" t="str">
        <x:v>V2</x:v>
      </x:c>
      <x:c r="B71" s="1" t="str">
        <x:v>J05</x:v>
      </x:c>
      <x:c r="C71" s="1" t="str">
        <x:v>J05-U015</x:v>
      </x:c>
      <x:c r="D71" s="1" t="str">
        <x:v>U015</x:v>
      </x:c>
      <x:c r="E71" s="23" t="n">
        <x:v>91</x:v>
      </x:c>
      <x:c r="F71" s="23" t="n">
        <x:v>1.1</x:v>
      </x:c>
      <x:c r="G71" s="1" t="n">
        <x:v>97</x:v>
      </x:c>
      <x:c r="H71" s="1" t="n">
        <x:v>1</x:v>
      </x:c>
      <x:c r="I71" s="25" t="n">
        <x:f>E71*F71*G71/100*H71</x:f>
        <x:v>97.09700000000001</x:v>
      </x:c>
      <x:c r="J71" s="15"/>
      <x:c r="K71" s="17" t="n">
        <x:f>'项目计算'!R21</x:f>
        <x:v>0</x:v>
      </x:c>
      <x:c r="L71" s="1" t="n">
        <x:v>0</x:v>
      </x:c>
      <x:c r="M71" s="15" t="n">
        <x:f>K71-SUMIFS($J$5:$J$148,$A$5:$A$148,A71,$B$5:$B$148,B71)</x:f>
        <x:v>0</x:v>
      </x:c>
      <x:c r="N71" s="27" t="n">
        <x:f>SUMIFS($I$5:$I$148,$A$5:$A$148,A71,$B$5:$B$148,B71,$L$5:$L$148,0)</x:f>
        <x:v>380.947</x:v>
      </x:c>
      <x:c r="O71" s="27" t="n">
        <x:f>IF(L71=1,J71*100,IF(N71=0,0,M71*100*I71/N71))</x:f>
        <x:v>0</x:v>
      </x:c>
      <x:c r="P71" s="27" t="n">
        <x:f>ROUNDDOWN(O71,0)</x:f>
        <x:v>0</x:v>
      </x:c>
      <x:c r="Q71" s="27" t="n">
        <x:f>ROUND(O71-P71,10)</x:f>
        <x:v>0</x:v>
      </x:c>
      <x:c r="R71" s="1" t="n">
        <x:f>IF(L71=1,0,COUNTIFS($A$5:$A$148,A71,$B$5:$B$148,B71,$L$5:$L$148,0,$Q$5:$Q$148,"&gt;"&amp;Q71)+COUNTIFS($A$5:$A$148,A71,$B$5:$B$148,B71,$L$5:$L$148,0,$Q$5:$Q$148,Q71,$C$5:$C$148,"&lt;"&amp;C71)+1)</x:f>
        <x:v>3</x:v>
      </x:c>
      <x:c r="S71" s="1" t="n">
        <x:f>ROUND(M71*100-SUMIFS($P$5:$P$148,$A$5:$A$148,A71,$B$5:$B$148,B71,$L$5:$L$148,0),0)</x:f>
        <x:v>0</x:v>
      </x:c>
      <x:c r="T71" s="15" t="n">
        <x:f>IF(L71=1,J71,(P71+IF(R71&lt;=S71,1,0))/100)</x:f>
        <x:v>0</x:v>
      </x:c>
      <x:c r="U71" s="29" t="n">
        <x:f>'项目计算'!S21</x:f>
        <x:v>0.2</x:v>
      </x:c>
      <x:c r="V71" s="15" t="n">
        <x:f>ROUND(T71*(1-U71),2)</x:f>
        <x:v>0</x:v>
      </x:c>
      <x:c r="W71" s="15" t="n">
        <x:f>T71-V71</x:f>
        <x:v>0</x:v>
      </x:c>
    </x:row>
    <x:row r="72" ht="22" customHeight="1">
      <x:c r="A72" s="10" t="str">
        <x:v>V2</x:v>
      </x:c>
      <x:c r="B72" s="10" t="str">
        <x:v>J05</x:v>
      </x:c>
      <x:c r="C72" s="10" t="str">
        <x:v>J05-U016</x:v>
      </x:c>
      <x:c r="D72" s="10" t="str">
        <x:v>U016</x:v>
      </x:c>
      <x:c r="E72" s="24" t="n">
        <x:v>96.5</x:v>
      </x:c>
      <x:c r="F72" s="24" t="n">
        <x:v>0.9</x:v>
      </x:c>
      <x:c r="G72" s="10" t="n">
        <x:v>88</x:v>
      </x:c>
      <x:c r="H72" s="10" t="n">
        <x:v>1</x:v>
      </x:c>
      <x:c r="I72" s="26" t="n">
        <x:f>E72*F72*G72/100*H72</x:f>
        <x:v>76.42800000000001</x:v>
      </x:c>
      <x:c r="J72" s="16"/>
      <x:c r="K72" s="18" t="n">
        <x:f>'项目计算'!R21</x:f>
        <x:v>0</x:v>
      </x:c>
      <x:c r="L72" s="10" t="n">
        <x:v>0</x:v>
      </x:c>
      <x:c r="M72" s="16" t="n">
        <x:f>K72-SUMIFS($J$5:$J$148,$A$5:$A$148,A72,$B$5:$B$148,B72)</x:f>
        <x:v>0</x:v>
      </x:c>
      <x:c r="N72" s="28" t="n">
        <x:f>SUMIFS($I$5:$I$148,$A$5:$A$148,A72,$B$5:$B$148,B72,$L$5:$L$148,0)</x:f>
        <x:v>380.947</x:v>
      </x:c>
      <x:c r="O72" s="28" t="n">
        <x:f>IF(L72=1,J72*100,IF(N72=0,0,M72*100*I72/N72))</x:f>
        <x:v>0</x:v>
      </x:c>
      <x:c r="P72" s="28" t="n">
        <x:f>ROUNDDOWN(O72,0)</x:f>
        <x:v>0</x:v>
      </x:c>
      <x:c r="Q72" s="28" t="n">
        <x:f>ROUND(O72-P72,10)</x:f>
        <x:v>0</x:v>
      </x:c>
      <x:c r="R72" s="10" t="n">
        <x:f>IF(L72=1,0,COUNTIFS($A$5:$A$148,A72,$B$5:$B$148,B72,$L$5:$L$148,0,$Q$5:$Q$148,"&gt;"&amp;Q72)+COUNTIFS($A$5:$A$148,A72,$B$5:$B$148,B72,$L$5:$L$148,0,$Q$5:$Q$148,Q72,$C$5:$C$148,"&lt;"&amp;C72)+1)</x:f>
        <x:v>4</x:v>
      </x:c>
      <x:c r="S72" s="10" t="n">
        <x:f>ROUND(M72*100-SUMIFS($P$5:$P$148,$A$5:$A$148,A72,$B$5:$B$148,B72,$L$5:$L$148,0),0)</x:f>
        <x:v>0</x:v>
      </x:c>
      <x:c r="T72" s="16" t="n">
        <x:f>IF(L72=1,J72,(P72+IF(R72&lt;=S72,1,0))/100)</x:f>
        <x:v>0</x:v>
      </x:c>
      <x:c r="U72" s="30" t="n">
        <x:f>'项目计算'!S21</x:f>
        <x:v>0.2</x:v>
      </x:c>
      <x:c r="V72" s="16" t="n">
        <x:f>ROUND(T72*(1-U72),2)</x:f>
        <x:v>0</x:v>
      </x:c>
      <x:c r="W72" s="16" t="n">
        <x:f>T72-V72</x:f>
        <x:v>0</x:v>
      </x:c>
    </x:row>
    <x:row r="73" ht="22" customHeight="1">
      <x:c r="A73" s="1" t="str">
        <x:v>V2</x:v>
      </x:c>
      <x:c r="B73" s="1" t="str">
        <x:v>J06</x:v>
      </x:c>
      <x:c r="C73" s="1" t="str">
        <x:v>J06-U016</x:v>
      </x:c>
      <x:c r="D73" s="1" t="str">
        <x:v>U016</x:v>
      </x:c>
      <x:c r="E73" s="23" t="n">
        <x:v>119.5</x:v>
      </x:c>
      <x:c r="F73" s="23" t="n">
        <x:v>1.2</x:v>
      </x:c>
      <x:c r="G73" s="1" t="n">
        <x:v>87</x:v>
      </x:c>
      <x:c r="H73" s="1" t="n">
        <x:v>1</x:v>
      </x:c>
      <x:c r="I73" s="25" t="n">
        <x:f>E73*F73*G73/100*H73</x:f>
        <x:v>124.75800000000001</x:v>
      </x:c>
      <x:c r="J73" s="15"/>
      <x:c r="K73" s="17" t="n">
        <x:f>'项目计算'!R22</x:f>
        <x:v>0</x:v>
      </x:c>
      <x:c r="L73" s="1" t="n">
        <x:v>0</x:v>
      </x:c>
      <x:c r="M73" s="15" t="n">
        <x:f>K73-SUMIFS($J$5:$J$148,$A$5:$A$148,A73,$B$5:$B$148,B73)</x:f>
        <x:v>0</x:v>
      </x:c>
      <x:c r="N73" s="27" t="n">
        <x:f>SUMIFS($I$5:$I$148,$A$5:$A$148,A73,$B$5:$B$148,B73,$L$5:$L$148,0)</x:f>
        <x:v>283.45050000000003</x:v>
      </x:c>
      <x:c r="O73" s="27" t="n">
        <x:f>IF(L73=1,J73*100,IF(N73=0,0,M73*100*I73/N73))</x:f>
        <x:v>0</x:v>
      </x:c>
      <x:c r="P73" s="27" t="n">
        <x:f>ROUNDDOWN(O73,0)</x:f>
        <x:v>0</x:v>
      </x:c>
      <x:c r="Q73" s="27" t="n">
        <x:f>ROUND(O73-P73,10)</x:f>
        <x:v>0</x:v>
      </x:c>
      <x:c r="R73" s="1" t="n">
        <x:f>IF(L73=1,0,COUNTIFS($A$5:$A$148,A73,$B$5:$B$148,B73,$L$5:$L$148,0,$Q$5:$Q$148,"&gt;"&amp;Q73)+COUNTIFS($A$5:$A$148,A73,$B$5:$B$148,B73,$L$5:$L$148,0,$Q$5:$Q$148,Q73,$C$5:$C$148,"&lt;"&amp;C73)+1)</x:f>
        <x:v>2</x:v>
      </x:c>
      <x:c r="S73" s="1" t="n">
        <x:f>ROUND(M73*100-SUMIFS($P$5:$P$148,$A$5:$A$148,A73,$B$5:$B$148,B73,$L$5:$L$148,0),0)</x:f>
        <x:v>0</x:v>
      </x:c>
      <x:c r="T73" s="15" t="n">
        <x:f>IF(L73=1,J73,(P73+IF(R73&lt;=S73,1,0))/100)</x:f>
        <x:v>0</x:v>
      </x:c>
      <x:c r="U73" s="29" t="n">
        <x:f>'项目计算'!S22</x:f>
        <x:v>0.2</x:v>
      </x:c>
      <x:c r="V73" s="15" t="n">
        <x:f>ROUND(T73*(1-U73),2)</x:f>
        <x:v>0</x:v>
      </x:c>
      <x:c r="W73" s="15" t="n">
        <x:f>T73-V73</x:f>
        <x:v>0</x:v>
      </x:c>
    </x:row>
    <x:row r="74" ht="22" customHeight="1">
      <x:c r="A74" s="10" t="str">
        <x:v>V2</x:v>
      </x:c>
      <x:c r="B74" s="10" t="str">
        <x:v>J06</x:v>
      </x:c>
      <x:c r="C74" s="10" t="str">
        <x:v>J06-U017</x:v>
      </x:c>
      <x:c r="D74" s="10" t="str">
        <x:v>U017</x:v>
      </x:c>
      <x:c r="E74" s="24" t="n">
        <x:v>83.5</x:v>
      </x:c>
      <x:c r="F74" s="24" t="n">
        <x:v>1</x:v>
      </x:c>
      <x:c r="G74" s="10" t="n">
        <x:v>81</x:v>
      </x:c>
      <x:c r="H74" s="10" t="n">
        <x:v>1</x:v>
      </x:c>
      <x:c r="I74" s="26" t="n">
        <x:f>E74*F74*G74/100*H74</x:f>
        <x:v>67.635</x:v>
      </x:c>
      <x:c r="J74" s="16"/>
      <x:c r="K74" s="18" t="n">
        <x:f>'项目计算'!R22</x:f>
        <x:v>0</x:v>
      </x:c>
      <x:c r="L74" s="10" t="n">
        <x:v>0</x:v>
      </x:c>
      <x:c r="M74" s="16" t="n">
        <x:f>K74-SUMIFS($J$5:$J$148,$A$5:$A$148,A74,$B$5:$B$148,B74)</x:f>
        <x:v>0</x:v>
      </x:c>
      <x:c r="N74" s="28" t="n">
        <x:f>SUMIFS($I$5:$I$148,$A$5:$A$148,A74,$B$5:$B$148,B74,$L$5:$L$148,0)</x:f>
        <x:v>283.45050000000003</x:v>
      </x:c>
      <x:c r="O74" s="28" t="n">
        <x:f>IF(L74=1,J74*100,IF(N74=0,0,M74*100*I74/N74))</x:f>
        <x:v>0</x:v>
      </x:c>
      <x:c r="P74" s="28" t="n">
        <x:f>ROUNDDOWN(O74,0)</x:f>
        <x:v>0</x:v>
      </x:c>
      <x:c r="Q74" s="28" t="n">
        <x:f>ROUND(O74-P74,10)</x:f>
        <x:v>0</x:v>
      </x:c>
      <x:c r="R74" s="10" t="n">
        <x:f>IF(L74=1,0,COUNTIFS($A$5:$A$148,A74,$B$5:$B$148,B74,$L$5:$L$148,0,$Q$5:$Q$148,"&gt;"&amp;Q74)+COUNTIFS($A$5:$A$148,A74,$B$5:$B$148,B74,$L$5:$L$148,0,$Q$5:$Q$148,Q74,$C$5:$C$148,"&lt;"&amp;C74)+1)</x:f>
        <x:v>3</x:v>
      </x:c>
      <x:c r="S74" s="10" t="n">
        <x:f>ROUND(M74*100-SUMIFS($P$5:$P$148,$A$5:$A$148,A74,$B$5:$B$148,B74,$L$5:$L$148,0),0)</x:f>
        <x:v>0</x:v>
      </x:c>
      <x:c r="T74" s="16" t="n">
        <x:f>IF(L74=1,J74,(P74+IF(R74&lt;=S74,1,0))/100)</x:f>
        <x:v>0</x:v>
      </x:c>
      <x:c r="U74" s="30" t="n">
        <x:f>'项目计算'!S22</x:f>
        <x:v>0.2</x:v>
      </x:c>
      <x:c r="V74" s="16" t="n">
        <x:f>ROUND(T74*(1-U74),2)</x:f>
        <x:v>0</x:v>
      </x:c>
      <x:c r="W74" s="16" t="n">
        <x:f>T74-V74</x:f>
        <x:v>0</x:v>
      </x:c>
    </x:row>
    <x:row r="75" ht="22" customHeight="1">
      <x:c r="A75" s="1" t="str">
        <x:v>V2</x:v>
      </x:c>
      <x:c r="B75" s="1" t="str">
        <x:v>J06</x:v>
      </x:c>
      <x:c r="C75" s="1" t="str">
        <x:v>J06-U018</x:v>
      </x:c>
      <x:c r="D75" s="1" t="str">
        <x:v>U018</x:v>
      </x:c>
      <x:c r="E75" s="23" t="n">
        <x:v>86</x:v>
      </x:c>
      <x:c r="F75" s="23" t="n">
        <x:v>1.1</x:v>
      </x:c>
      <x:c r="G75" s="1" t="n">
        <x:v>90</x:v>
      </x:c>
      <x:c r="H75" s="1" t="n">
        <x:v>0</x:v>
      </x:c>
      <x:c r="I75" s="25" t="n">
        <x:f>E75*F75*G75/100*H75</x:f>
        <x:v>0</x:v>
      </x:c>
      <x:c r="J75" s="15"/>
      <x:c r="K75" s="17" t="n">
        <x:f>'项目计算'!R22</x:f>
        <x:v>0</x:v>
      </x:c>
      <x:c r="L75" s="1" t="n">
        <x:v>0</x:v>
      </x:c>
      <x:c r="M75" s="15" t="n">
        <x:f>K75-SUMIFS($J$5:$J$148,$A$5:$A$148,A75,$B$5:$B$148,B75)</x:f>
        <x:v>0</x:v>
      </x:c>
      <x:c r="N75" s="27" t="n">
        <x:f>SUMIFS($I$5:$I$148,$A$5:$A$148,A75,$B$5:$B$148,B75,$L$5:$L$148,0)</x:f>
        <x:v>283.45050000000003</x:v>
      </x:c>
      <x:c r="O75" s="27" t="n">
        <x:f>IF(L75=1,J75*100,IF(N75=0,0,M75*100*I75/N75))</x:f>
        <x:v>0</x:v>
      </x:c>
      <x:c r="P75" s="27" t="n">
        <x:f>ROUNDDOWN(O75,0)</x:f>
        <x:v>0</x:v>
      </x:c>
      <x:c r="Q75" s="27" t="n">
        <x:f>ROUND(O75-P75,10)</x:f>
        <x:v>0</x:v>
      </x:c>
      <x:c r="R75" s="1" t="n">
        <x:f>IF(L75=1,0,COUNTIFS($A$5:$A$148,A75,$B$5:$B$148,B75,$L$5:$L$148,0,$Q$5:$Q$148,"&gt;"&amp;Q75)+COUNTIFS($A$5:$A$148,A75,$B$5:$B$148,B75,$L$5:$L$148,0,$Q$5:$Q$148,Q75,$C$5:$C$148,"&lt;"&amp;C75)+1)</x:f>
        <x:v>4</x:v>
      </x:c>
      <x:c r="S75" s="1" t="n">
        <x:f>ROUND(M75*100-SUMIFS($P$5:$P$148,$A$5:$A$148,A75,$B$5:$B$148,B75,$L$5:$L$148,0),0)</x:f>
        <x:v>0</x:v>
      </x:c>
      <x:c r="T75" s="15" t="n">
        <x:f>IF(L75=1,J75,(P75+IF(R75&lt;=S75,1,0))/100)</x:f>
        <x:v>0</x:v>
      </x:c>
      <x:c r="U75" s="29" t="n">
        <x:f>'项目计算'!S22</x:f>
        <x:v>0.2</x:v>
      </x:c>
      <x:c r="V75" s="15" t="n">
        <x:f>ROUND(T75*(1-U75),2)</x:f>
        <x:v>0</x:v>
      </x:c>
      <x:c r="W75" s="15" t="n">
        <x:f>T75-V75</x:f>
        <x:v>0</x:v>
      </x:c>
    </x:row>
    <x:row r="76" ht="22" customHeight="1">
      <x:c r="A76" s="10" t="str">
        <x:v>V2</x:v>
      </x:c>
      <x:c r="B76" s="10" t="str">
        <x:v>J06</x:v>
      </x:c>
      <x:c r="C76" s="10" t="str">
        <x:v>J06-U001</x:v>
      </x:c>
      <x:c r="D76" s="10" t="str">
        <x:v>U001</x:v>
      </x:c>
      <x:c r="E76" s="24" t="n">
        <x:v>106.5</x:v>
      </x:c>
      <x:c r="F76" s="24" t="n">
        <x:v>0.9</x:v>
      </x:c>
      <x:c r="G76" s="10" t="n">
        <x:v>95</x:v>
      </x:c>
      <x:c r="H76" s="10" t="n">
        <x:v>1</x:v>
      </x:c>
      <x:c r="I76" s="26" t="n">
        <x:f>E76*F76*G76/100*H76</x:f>
        <x:v>91.0575</x:v>
      </x:c>
      <x:c r="J76" s="16"/>
      <x:c r="K76" s="18" t="n">
        <x:f>'项目计算'!R22</x:f>
        <x:v>0</x:v>
      </x:c>
      <x:c r="L76" s="10" t="n">
        <x:v>0</x:v>
      </x:c>
      <x:c r="M76" s="16" t="n">
        <x:f>K76-SUMIFS($J$5:$J$148,$A$5:$A$148,A76,$B$5:$B$148,B76)</x:f>
        <x:v>0</x:v>
      </x:c>
      <x:c r="N76" s="28" t="n">
        <x:f>SUMIFS($I$5:$I$148,$A$5:$A$148,A76,$B$5:$B$148,B76,$L$5:$L$148,0)</x:f>
        <x:v>283.45050000000003</x:v>
      </x:c>
      <x:c r="O76" s="28" t="n">
        <x:f>IF(L76=1,J76*100,IF(N76=0,0,M76*100*I76/N76))</x:f>
        <x:v>0</x:v>
      </x:c>
      <x:c r="P76" s="28" t="n">
        <x:f>ROUNDDOWN(O76,0)</x:f>
        <x:v>0</x:v>
      </x:c>
      <x:c r="Q76" s="28" t="n">
        <x:f>ROUND(O76-P76,10)</x:f>
        <x:v>0</x:v>
      </x:c>
      <x:c r="R76" s="10" t="n">
        <x:f>IF(L76=1,0,COUNTIFS($A$5:$A$148,A76,$B$5:$B$148,B76,$L$5:$L$148,0,$Q$5:$Q$148,"&gt;"&amp;Q76)+COUNTIFS($A$5:$A$148,A76,$B$5:$B$148,B76,$L$5:$L$148,0,$Q$5:$Q$148,Q76,$C$5:$C$148,"&lt;"&amp;C76)+1)</x:f>
        <x:v>1</x:v>
      </x:c>
      <x:c r="S76" s="10" t="n">
        <x:f>ROUND(M76*100-SUMIFS($P$5:$P$148,$A$5:$A$148,A76,$B$5:$B$148,B76,$L$5:$L$148,0),0)</x:f>
        <x:v>0</x:v>
      </x:c>
      <x:c r="T76" s="16" t="n">
        <x:f>IF(L76=1,J76,(P76+IF(R76&lt;=S76,1,0))/100)</x:f>
        <x:v>0</x:v>
      </x:c>
      <x:c r="U76" s="30" t="n">
        <x:f>'项目计算'!S22</x:f>
        <x:v>0.2</x:v>
      </x:c>
      <x:c r="V76" s="16" t="n">
        <x:f>ROUND(T76*(1-U76),2)</x:f>
        <x:v>0</x:v>
      </x:c>
      <x:c r="W76" s="16" t="n">
        <x:f>T76-V76</x:f>
        <x:v>0</x:v>
      </x:c>
    </x:row>
    <x:row r="77" ht="22" customHeight="1">
      <x:c r="A77" s="1" t="str">
        <x:v>V2</x:v>
      </x:c>
      <x:c r="B77" s="1" t="str">
        <x:v>J07</x:v>
      </x:c>
      <x:c r="C77" s="1" t="str">
        <x:v>J07-U001</x:v>
      </x:c>
      <x:c r="D77" s="1" t="str">
        <x:v>U001</x:v>
      </x:c>
      <x:c r="E77" s="23" t="n">
        <x:v>98.5</x:v>
      </x:c>
      <x:c r="F77" s="23" t="n">
        <x:v>1.2</x:v>
      </x:c>
      <x:c r="G77" s="1" t="n">
        <x:v>80</x:v>
      </x:c>
      <x:c r="H77" s="1" t="n">
        <x:v>1</x:v>
      </x:c>
      <x:c r="I77" s="25" t="n">
        <x:f>E77*F77*G77/100*H77</x:f>
        <x:v>94.56</x:v>
      </x:c>
      <x:c r="J77" s="15"/>
      <x:c r="K77" s="17" t="n">
        <x:f>'项目计算'!R23</x:f>
        <x:v>0</x:v>
      </x:c>
      <x:c r="L77" s="1" t="n">
        <x:v>0</x:v>
      </x:c>
      <x:c r="M77" s="15" t="n">
        <x:f>K77-SUMIFS($J$5:$J$148,$A$5:$A$148,A77,$B$5:$B$148,B77)</x:f>
        <x:v>0</x:v>
      </x:c>
      <x:c r="N77" s="27" t="n">
        <x:f>SUMIFS($I$5:$I$148,$A$5:$A$148,A77,$B$5:$B$148,B77,$L$5:$L$148,0)</x:f>
        <x:v>285.704</x:v>
      </x:c>
      <x:c r="O77" s="27" t="n">
        <x:f>IF(L77=1,J77*100,IF(N77=0,0,M77*100*I77/N77))</x:f>
        <x:v>0</x:v>
      </x:c>
      <x:c r="P77" s="27" t="n">
        <x:f>ROUNDDOWN(O77,0)</x:f>
        <x:v>0</x:v>
      </x:c>
      <x:c r="Q77" s="27" t="n">
        <x:f>ROUND(O77-P77,10)</x:f>
        <x:v>0</x:v>
      </x:c>
      <x:c r="R77" s="1" t="n">
        <x:f>IF(L77=1,0,COUNTIFS($A$5:$A$148,A77,$B$5:$B$148,B77,$L$5:$L$148,0,$Q$5:$Q$148,"&gt;"&amp;Q77)+COUNTIFS($A$5:$A$148,A77,$B$5:$B$148,B77,$L$5:$L$148,0,$Q$5:$Q$148,Q77,$C$5:$C$148,"&lt;"&amp;C77)+1)</x:f>
        <x:v>1</x:v>
      </x:c>
      <x:c r="S77" s="1" t="n">
        <x:f>ROUND(M77*100-SUMIFS($P$5:$P$148,$A$5:$A$148,A77,$B$5:$B$148,B77,$L$5:$L$148,0),0)</x:f>
        <x:v>0</x:v>
      </x:c>
      <x:c r="T77" s="15" t="n">
        <x:f>IF(L77=1,J77,(P77+IF(R77&lt;=S77,1,0))/100)</x:f>
        <x:v>0</x:v>
      </x:c>
      <x:c r="U77" s="29" t="n">
        <x:f>'项目计算'!S23</x:f>
        <x:v>0.2</x:v>
      </x:c>
      <x:c r="V77" s="15" t="n">
        <x:f>ROUND(T77*(1-U77),2)</x:f>
        <x:v>0</x:v>
      </x:c>
      <x:c r="W77" s="15" t="n">
        <x:f>T77-V77</x:f>
        <x:v>0</x:v>
      </x:c>
    </x:row>
    <x:row r="78" ht="22" customHeight="1">
      <x:c r="A78" s="10" t="str">
        <x:v>V2</x:v>
      </x:c>
      <x:c r="B78" s="10" t="str">
        <x:v>J07</x:v>
      </x:c>
      <x:c r="C78" s="10" t="str">
        <x:v>J07-U002</x:v>
      </x:c>
      <x:c r="D78" s="10" t="str">
        <x:v>U002</x:v>
      </x:c>
      <x:c r="E78" s="24" t="n">
        <x:v>135.5</x:v>
      </x:c>
      <x:c r="F78" s="24" t="n">
        <x:v>1</x:v>
      </x:c>
      <x:c r="G78" s="10" t="n">
        <x:v>64</x:v>
      </x:c>
      <x:c r="H78" s="10" t="n">
        <x:v>1</x:v>
      </x:c>
      <x:c r="I78" s="26" t="n">
        <x:f>E78*F78*G78/100*H78</x:f>
        <x:v>86.72</x:v>
      </x:c>
      <x:c r="J78" s="16"/>
      <x:c r="K78" s="18" t="n">
        <x:f>'项目计算'!R23</x:f>
        <x:v>0</x:v>
      </x:c>
      <x:c r="L78" s="10" t="n">
        <x:v>0</x:v>
      </x:c>
      <x:c r="M78" s="16" t="n">
        <x:f>K78-SUMIFS($J$5:$J$148,$A$5:$A$148,A78,$B$5:$B$148,B78)</x:f>
        <x:v>0</x:v>
      </x:c>
      <x:c r="N78" s="28" t="n">
        <x:f>SUMIFS($I$5:$I$148,$A$5:$A$148,A78,$B$5:$B$148,B78,$L$5:$L$148,0)</x:f>
        <x:v>285.704</x:v>
      </x:c>
      <x:c r="O78" s="28" t="n">
        <x:f>IF(L78=1,J78*100,IF(N78=0,0,M78*100*I78/N78))</x:f>
        <x:v>0</x:v>
      </x:c>
      <x:c r="P78" s="28" t="n">
        <x:f>ROUNDDOWN(O78,0)</x:f>
        <x:v>0</x:v>
      </x:c>
      <x:c r="Q78" s="28" t="n">
        <x:f>ROUND(O78-P78,10)</x:f>
        <x:v>0</x:v>
      </x:c>
      <x:c r="R78" s="10" t="n">
        <x:f>IF(L78=1,0,COUNTIFS($A$5:$A$148,A78,$B$5:$B$148,B78,$L$5:$L$148,0,$Q$5:$Q$148,"&gt;"&amp;Q78)+COUNTIFS($A$5:$A$148,A78,$B$5:$B$148,B78,$L$5:$L$148,0,$Q$5:$Q$148,Q78,$C$5:$C$148,"&lt;"&amp;C78)+1)</x:f>
        <x:v>2</x:v>
      </x:c>
      <x:c r="S78" s="10" t="n">
        <x:f>ROUND(M78*100-SUMIFS($P$5:$P$148,$A$5:$A$148,A78,$B$5:$B$148,B78,$L$5:$L$148,0),0)</x:f>
        <x:v>0</x:v>
      </x:c>
      <x:c r="T78" s="16" t="n">
        <x:f>IF(L78=1,J78,(P78+IF(R78&lt;=S78,1,0))/100)</x:f>
        <x:v>0</x:v>
      </x:c>
      <x:c r="U78" s="30" t="n">
        <x:f>'项目计算'!S23</x:f>
        <x:v>0.2</x:v>
      </x:c>
      <x:c r="V78" s="16" t="n">
        <x:f>ROUND(T78*(1-U78),2)</x:f>
        <x:v>0</x:v>
      </x:c>
      <x:c r="W78" s="16" t="n">
        <x:f>T78-V78</x:f>
        <x:v>0</x:v>
      </x:c>
    </x:row>
    <x:row r="79" ht="22" customHeight="1">
      <x:c r="A79" s="1" t="str">
        <x:v>V2</x:v>
      </x:c>
      <x:c r="B79" s="1" t="str">
        <x:v>J07</x:v>
      </x:c>
      <x:c r="C79" s="1" t="str">
        <x:v>J07-U003</x:v>
      </x:c>
      <x:c r="D79" s="1" t="str">
        <x:v>U003</x:v>
      </x:c>
      <x:c r="E79" s="23" t="n">
        <x:v>74</x:v>
      </x:c>
      <x:c r="F79" s="23" t="n">
        <x:v>1.1</x:v>
      </x:c>
      <x:c r="G79" s="1" t="n">
        <x:v>60</x:v>
      </x:c>
      <x:c r="H79" s="1" t="n">
        <x:v>1</x:v>
      </x:c>
      <x:c r="I79" s="25" t="n">
        <x:f>E79*F79*G79/100*H79</x:f>
        <x:v>48.84</x:v>
      </x:c>
      <x:c r="J79" s="15"/>
      <x:c r="K79" s="17" t="n">
        <x:f>'项目计算'!R23</x:f>
        <x:v>0</x:v>
      </x:c>
      <x:c r="L79" s="1" t="n">
        <x:v>0</x:v>
      </x:c>
      <x:c r="M79" s="15" t="n">
        <x:f>K79-SUMIFS($J$5:$J$148,$A$5:$A$148,A79,$B$5:$B$148,B79)</x:f>
        <x:v>0</x:v>
      </x:c>
      <x:c r="N79" s="27" t="n">
        <x:f>SUMIFS($I$5:$I$148,$A$5:$A$148,A79,$B$5:$B$148,B79,$L$5:$L$148,0)</x:f>
        <x:v>285.704</x:v>
      </x:c>
      <x:c r="O79" s="27" t="n">
        <x:f>IF(L79=1,J79*100,IF(N79=0,0,M79*100*I79/N79))</x:f>
        <x:v>0</x:v>
      </x:c>
      <x:c r="P79" s="27" t="n">
        <x:f>ROUNDDOWN(O79,0)</x:f>
        <x:v>0</x:v>
      </x:c>
      <x:c r="Q79" s="27" t="n">
        <x:f>ROUND(O79-P79,10)</x:f>
        <x:v>0</x:v>
      </x:c>
      <x:c r="R79" s="1" t="n">
        <x:f>IF(L79=1,0,COUNTIFS($A$5:$A$148,A79,$B$5:$B$148,B79,$L$5:$L$148,0,$Q$5:$Q$148,"&gt;"&amp;Q79)+COUNTIFS($A$5:$A$148,A79,$B$5:$B$148,B79,$L$5:$L$148,0,$Q$5:$Q$148,Q79,$C$5:$C$148,"&lt;"&amp;C79)+1)</x:f>
        <x:v>3</x:v>
      </x:c>
      <x:c r="S79" s="1" t="n">
        <x:f>ROUND(M79*100-SUMIFS($P$5:$P$148,$A$5:$A$148,A79,$B$5:$B$148,B79,$L$5:$L$148,0),0)</x:f>
        <x:v>0</x:v>
      </x:c>
      <x:c r="T79" s="15" t="n">
        <x:f>IF(L79=1,J79,(P79+IF(R79&lt;=S79,1,0))/100)</x:f>
        <x:v>0</x:v>
      </x:c>
      <x:c r="U79" s="29" t="n">
        <x:f>'项目计算'!S23</x:f>
        <x:v>0.2</x:v>
      </x:c>
      <x:c r="V79" s="15" t="n">
        <x:f>ROUND(T79*(1-U79),2)</x:f>
        <x:v>0</x:v>
      </x:c>
      <x:c r="W79" s="15" t="n">
        <x:f>T79-V79</x:f>
        <x:v>0</x:v>
      </x:c>
    </x:row>
    <x:row r="80" ht="22" customHeight="1">
      <x:c r="A80" s="10" t="str">
        <x:v>V2</x:v>
      </x:c>
      <x:c r="B80" s="10" t="str">
        <x:v>J07</x:v>
      </x:c>
      <x:c r="C80" s="10" t="str">
        <x:v>J07-U004</x:v>
      </x:c>
      <x:c r="D80" s="10" t="str">
        <x:v>U004</x:v>
      </x:c>
      <x:c r="E80" s="24" t="n">
        <x:v>96.5</x:v>
      </x:c>
      <x:c r="F80" s="24" t="n">
        <x:v>0.9</x:v>
      </x:c>
      <x:c r="G80" s="10" t="n">
        <x:v>64</x:v>
      </x:c>
      <x:c r="H80" s="10" t="n">
        <x:v>1</x:v>
      </x:c>
      <x:c r="I80" s="26" t="n">
        <x:f>E80*F80*G80/100*H80</x:f>
        <x:v>55.584</x:v>
      </x:c>
      <x:c r="J80" s="16"/>
      <x:c r="K80" s="18" t="n">
        <x:f>'项目计算'!R23</x:f>
        <x:v>0</x:v>
      </x:c>
      <x:c r="L80" s="10" t="n">
        <x:v>0</x:v>
      </x:c>
      <x:c r="M80" s="16" t="n">
        <x:f>K80-SUMIFS($J$5:$J$148,$A$5:$A$148,A80,$B$5:$B$148,B80)</x:f>
        <x:v>0</x:v>
      </x:c>
      <x:c r="N80" s="28" t="n">
        <x:f>SUMIFS($I$5:$I$148,$A$5:$A$148,A80,$B$5:$B$148,B80,$L$5:$L$148,0)</x:f>
        <x:v>285.704</x:v>
      </x:c>
      <x:c r="O80" s="28" t="n">
        <x:f>IF(L80=1,J80*100,IF(N80=0,0,M80*100*I80/N80))</x:f>
        <x:v>0</x:v>
      </x:c>
      <x:c r="P80" s="28" t="n">
        <x:f>ROUNDDOWN(O80,0)</x:f>
        <x:v>0</x:v>
      </x:c>
      <x:c r="Q80" s="28" t="n">
        <x:f>ROUND(O80-P80,10)</x:f>
        <x:v>0</x:v>
      </x:c>
      <x:c r="R80" s="10" t="n">
        <x:f>IF(L80=1,0,COUNTIFS($A$5:$A$148,A80,$B$5:$B$148,B80,$L$5:$L$148,0,$Q$5:$Q$148,"&gt;"&amp;Q80)+COUNTIFS($A$5:$A$148,A80,$B$5:$B$148,B80,$L$5:$L$148,0,$Q$5:$Q$148,Q80,$C$5:$C$148,"&lt;"&amp;C80)+1)</x:f>
        <x:v>4</x:v>
      </x:c>
      <x:c r="S80" s="10" t="n">
        <x:f>ROUND(M80*100-SUMIFS($P$5:$P$148,$A$5:$A$148,A80,$B$5:$B$148,B80,$L$5:$L$148,0),0)</x:f>
        <x:v>0</x:v>
      </x:c>
      <x:c r="T80" s="16" t="n">
        <x:f>IF(L80=1,J80,(P80+IF(R80&lt;=S80,1,0))/100)</x:f>
        <x:v>0</x:v>
      </x:c>
      <x:c r="U80" s="30" t="n">
        <x:f>'项目计算'!S23</x:f>
        <x:v>0.2</x:v>
      </x:c>
      <x:c r="V80" s="16" t="n">
        <x:f>ROUND(T80*(1-U80),2)</x:f>
        <x:v>0</x:v>
      </x:c>
      <x:c r="W80" s="16" t="n">
        <x:f>T80-V80</x:f>
        <x:v>0</x:v>
      </x:c>
    </x:row>
    <x:row r="81" ht="22" customHeight="1">
      <x:c r="A81" s="1" t="str">
        <x:v>V2</x:v>
      </x:c>
      <x:c r="B81" s="1" t="str">
        <x:v>J08</x:v>
      </x:c>
      <x:c r="C81" s="1" t="str">
        <x:v>J08-U004</x:v>
      </x:c>
      <x:c r="D81" s="1" t="str">
        <x:v>U004</x:v>
      </x:c>
      <x:c r="E81" s="23" t="n">
        <x:v>129.5</x:v>
      </x:c>
      <x:c r="F81" s="23" t="n">
        <x:v>1.2</x:v>
      </x:c>
      <x:c r="G81" s="1" t="n">
        <x:v>89</x:v>
      </x:c>
      <x:c r="H81" s="1" t="n">
        <x:v>1</x:v>
      </x:c>
      <x:c r="I81" s="25" t="n">
        <x:f>E81*F81*G81/100*H81</x:f>
        <x:v>138.306</x:v>
      </x:c>
      <x:c r="J81" s="15"/>
      <x:c r="K81" s="17" t="n">
        <x:f>'项目计算'!R24</x:f>
        <x:v>7296</x:v>
      </x:c>
      <x:c r="L81" s="1" t="n">
        <x:v>0</x:v>
      </x:c>
      <x:c r="M81" s="15" t="n">
        <x:f>K81-SUMIFS($J$5:$J$148,$A$5:$A$148,A81,$B$5:$B$148,B81)</x:f>
        <x:v>7296</x:v>
      </x:c>
      <x:c r="N81" s="27" t="n">
        <x:f>SUMIFS($I$5:$I$148,$A$5:$A$148,A81,$B$5:$B$148,B81,$L$5:$L$148,0)</x:f>
        <x:v>247.5</x:v>
      </x:c>
      <x:c r="O81" s="27" t="n">
        <x:f>IF(L81=1,J81*100,IF(N81=0,0,M81*100*I81/N81))</x:f>
        <x:v>407709.32363636367</x:v>
      </x:c>
      <x:c r="P81" s="27" t="n">
        <x:f>ROUNDDOWN(O81,0)</x:f>
        <x:v>407709</x:v>
      </x:c>
      <x:c r="Q81" s="27" t="n">
        <x:f>ROUND(O81-P81,10)</x:f>
        <x:v>0.3236363637</x:v>
      </x:c>
      <x:c r="R81" s="1" t="n">
        <x:f>IF(L81=1,0,COUNTIFS($A$5:$A$148,A81,$B$5:$B$148,B81,$L$5:$L$148,0,$Q$5:$Q$148,"&gt;"&amp;Q81)+COUNTIFS($A$5:$A$148,A81,$B$5:$B$148,B81,$L$5:$L$148,0,$Q$5:$Q$148,Q81,$C$5:$C$148,"&lt;"&amp;C81)+1)</x:f>
        <x:v>3</x:v>
      </x:c>
      <x:c r="S81" s="1" t="n">
        <x:f>ROUND(M81*100-SUMIFS($P$5:$P$148,$A$5:$A$148,A81,$B$5:$B$148,B81,$L$5:$L$148,0),0)</x:f>
        <x:v>2</x:v>
      </x:c>
      <x:c r="T81" s="15" t="n">
        <x:f>IF(L81=1,J81,(P81+IF(R81&lt;=S81,1,0))/100)</x:f>
        <x:v>4077.09</x:v>
      </x:c>
      <x:c r="U81" s="29" t="n">
        <x:f>'项目计算'!S24</x:f>
        <x:v>0</x:v>
      </x:c>
      <x:c r="V81" s="15" t="n">
        <x:f>ROUND(T81*(1-U81),2)</x:f>
        <x:v>4077.09</x:v>
      </x:c>
      <x:c r="W81" s="15" t="n">
        <x:f>T81-V81</x:f>
        <x:v>0</x:v>
      </x:c>
    </x:row>
    <x:row r="82" ht="22" customHeight="1">
      <x:c r="A82" s="10" t="str">
        <x:v>V2</x:v>
      </x:c>
      <x:c r="B82" s="10" t="str">
        <x:v>J08</x:v>
      </x:c>
      <x:c r="C82" s="10" t="str">
        <x:v>J08-U005</x:v>
      </x:c>
      <x:c r="D82" s="10" t="str">
        <x:v>U005</x:v>
      </x:c>
      <x:c r="E82" s="24" t="n">
        <x:v>88.5</x:v>
      </x:c>
      <x:c r="F82" s="24" t="n">
        <x:v>1</x:v>
      </x:c>
      <x:c r="G82" s="10" t="n">
        <x:v>72</x:v>
      </x:c>
      <x:c r="H82" s="10" t="n">
        <x:v>1</x:v>
      </x:c>
      <x:c r="I82" s="26" t="n">
        <x:f>E82*F82*G82/100*H82</x:f>
        <x:v>63.72</x:v>
      </x:c>
      <x:c r="J82" s="16"/>
      <x:c r="K82" s="18" t="n">
        <x:f>'项目计算'!R24</x:f>
        <x:v>7296</x:v>
      </x:c>
      <x:c r="L82" s="10" t="n">
        <x:v>0</x:v>
      </x:c>
      <x:c r="M82" s="16" t="n">
        <x:f>K82-SUMIFS($J$5:$J$148,$A$5:$A$148,A82,$B$5:$B$148,B82)</x:f>
        <x:v>7296</x:v>
      </x:c>
      <x:c r="N82" s="28" t="n">
        <x:f>SUMIFS($I$5:$I$148,$A$5:$A$148,A82,$B$5:$B$148,B82,$L$5:$L$148,0)</x:f>
        <x:v>247.5</x:v>
      </x:c>
      <x:c r="O82" s="28" t="n">
        <x:f>IF(L82=1,J82*100,IF(N82=0,0,M82*100*I82/N82))</x:f>
        <x:v>187838.83636363636</x:v>
      </x:c>
      <x:c r="P82" s="28" t="n">
        <x:f>ROUNDDOWN(O82,0)</x:f>
        <x:v>187838</x:v>
      </x:c>
      <x:c r="Q82" s="28" t="n">
        <x:f>ROUND(O82-P82,10)</x:f>
        <x:v>0.8363636364</x:v>
      </x:c>
      <x:c r="R82" s="10" t="n">
        <x:f>IF(L82=1,0,COUNTIFS($A$5:$A$148,A82,$B$5:$B$148,B82,$L$5:$L$148,0,$Q$5:$Q$148,"&gt;"&amp;Q82)+COUNTIFS($A$5:$A$148,A82,$B$5:$B$148,B82,$L$5:$L$148,0,$Q$5:$Q$148,Q82,$C$5:$C$148,"&lt;"&amp;C82)+1)</x:f>
        <x:v>2</x:v>
      </x:c>
      <x:c r="S82" s="10" t="n">
        <x:f>ROUND(M82*100-SUMIFS($P$5:$P$148,$A$5:$A$148,A82,$B$5:$B$148,B82,$L$5:$L$148,0),0)</x:f>
        <x:v>2</x:v>
      </x:c>
      <x:c r="T82" s="16" t="n">
        <x:f>IF(L82=1,J82,(P82+IF(R82&lt;=S82,1,0))/100)</x:f>
        <x:v>1878.39</x:v>
      </x:c>
      <x:c r="U82" s="30" t="n">
        <x:f>'项目计算'!S24</x:f>
        <x:v>0</x:v>
      </x:c>
      <x:c r="V82" s="16" t="n">
        <x:f>ROUND(T82*(1-U82),2)</x:f>
        <x:v>1878.39</x:v>
      </x:c>
      <x:c r="W82" s="16" t="n">
        <x:f>T82-V82</x:f>
        <x:v>0</x:v>
      </x:c>
    </x:row>
    <x:row r="83" ht="22" customHeight="1">
      <x:c r="A83" s="1" t="str">
        <x:v>V2</x:v>
      </x:c>
      <x:c r="B83" s="1" t="str">
        <x:v>J08</x:v>
      </x:c>
      <x:c r="C83" s="1" t="str">
        <x:v>J08-U006</x:v>
      </x:c>
      <x:c r="D83" s="1" t="str">
        <x:v>U006</x:v>
      </x:c>
      <x:c r="E83" s="23" t="n">
        <x:v>53</x:v>
      </x:c>
      <x:c r="F83" s="23" t="n">
        <x:v>1.1</x:v>
      </x:c>
      <x:c r="G83" s="1" t="n">
        <x:v>78</x:v>
      </x:c>
      <x:c r="H83" s="1" t="n">
        <x:v>1</x:v>
      </x:c>
      <x:c r="I83" s="25" t="n">
        <x:f>E83*F83*G83/100*H83</x:f>
        <x:v>45.474000000000004</x:v>
      </x:c>
      <x:c r="J83" s="15"/>
      <x:c r="K83" s="17" t="n">
        <x:f>'项目计算'!R24</x:f>
        <x:v>7296</x:v>
      </x:c>
      <x:c r="L83" s="1" t="n">
        <x:v>0</x:v>
      </x:c>
      <x:c r="M83" s="15" t="n">
        <x:f>K83-SUMIFS($J$5:$J$148,$A$5:$A$148,A83,$B$5:$B$148,B83)</x:f>
        <x:v>7296</x:v>
      </x:c>
      <x:c r="N83" s="27" t="n">
        <x:f>SUMIFS($I$5:$I$148,$A$5:$A$148,A83,$B$5:$B$148,B83,$L$5:$L$148,0)</x:f>
        <x:v>247.5</x:v>
      </x:c>
      <x:c r="O83" s="27" t="n">
        <x:f>IF(L83=1,J83*100,IF(N83=0,0,M83*100*I83/N83))</x:f>
        <x:v>134051.84</x:v>
      </x:c>
      <x:c r="P83" s="27" t="n">
        <x:f>ROUNDDOWN(O83,0)</x:f>
        <x:v>134051</x:v>
      </x:c>
      <x:c r="Q83" s="27" t="n">
        <x:f>ROUND(O83-P83,10)</x:f>
        <x:v>0.84</x:v>
      </x:c>
      <x:c r="R83" s="1" t="n">
        <x:f>IF(L83=1,0,COUNTIFS($A$5:$A$148,A83,$B$5:$B$148,B83,$L$5:$L$148,0,$Q$5:$Q$148,"&gt;"&amp;Q83)+COUNTIFS($A$5:$A$148,A83,$B$5:$B$148,B83,$L$5:$L$148,0,$Q$5:$Q$148,Q83,$C$5:$C$148,"&lt;"&amp;C83)+1)</x:f>
        <x:v>1</x:v>
      </x:c>
      <x:c r="S83" s="1" t="n">
        <x:f>ROUND(M83*100-SUMIFS($P$5:$P$148,$A$5:$A$148,A83,$B$5:$B$148,B83,$L$5:$L$148,0),0)</x:f>
        <x:v>2</x:v>
      </x:c>
      <x:c r="T83" s="15" t="n">
        <x:f>IF(L83=1,J83,(P83+IF(R83&lt;=S83,1,0))/100)</x:f>
        <x:v>1340.52</x:v>
      </x:c>
      <x:c r="U83" s="29" t="n">
        <x:f>'项目计算'!S24</x:f>
        <x:v>0</x:v>
      </x:c>
      <x:c r="V83" s="15" t="n">
        <x:f>ROUND(T83*(1-U83),2)</x:f>
        <x:v>1340.52</x:v>
      </x:c>
      <x:c r="W83" s="15" t="n">
        <x:f>T83-V83</x:f>
        <x:v>0</x:v>
      </x:c>
    </x:row>
    <x:row r="84" ht="22" customHeight="1">
      <x:c r="A84" s="10" t="str">
        <x:v>V2</x:v>
      </x:c>
      <x:c r="B84" s="10" t="str">
        <x:v>J08</x:v>
      </x:c>
      <x:c r="C84" s="10" t="str">
        <x:v>J08-U007</x:v>
      </x:c>
      <x:c r="D84" s="10" t="str">
        <x:v>U007</x:v>
      </x:c>
      <x:c r="E84" s="24" t="n">
        <x:v>109.5</x:v>
      </x:c>
      <x:c r="F84" s="24" t="n">
        <x:v>0.9</x:v>
      </x:c>
      <x:c r="G84" s="10" t="n">
        <x:v>0</x:v>
      </x:c>
      <x:c r="H84" s="10" t="n">
        <x:v>1</x:v>
      </x:c>
      <x:c r="I84" s="26" t="n">
        <x:f>E84*F84*G84/100*H84</x:f>
        <x:v>0</x:v>
      </x:c>
      <x:c r="J84" s="16"/>
      <x:c r="K84" s="18" t="n">
        <x:f>'项目计算'!R24</x:f>
        <x:v>7296</x:v>
      </x:c>
      <x:c r="L84" s="10" t="n">
        <x:v>0</x:v>
      </x:c>
      <x:c r="M84" s="16" t="n">
        <x:f>K84-SUMIFS($J$5:$J$148,$A$5:$A$148,A84,$B$5:$B$148,B84)</x:f>
        <x:v>7296</x:v>
      </x:c>
      <x:c r="N84" s="28" t="n">
        <x:f>SUMIFS($I$5:$I$148,$A$5:$A$148,A84,$B$5:$B$148,B84,$L$5:$L$148,0)</x:f>
        <x:v>247.5</x:v>
      </x:c>
      <x:c r="O84" s="28" t="n">
        <x:f>IF(L84=1,J84*100,IF(N84=0,0,M84*100*I84/N84))</x:f>
        <x:v>0</x:v>
      </x:c>
      <x:c r="P84" s="28" t="n">
        <x:f>ROUNDDOWN(O84,0)</x:f>
        <x:v>0</x:v>
      </x:c>
      <x:c r="Q84" s="28" t="n">
        <x:f>ROUND(O84-P84,10)</x:f>
        <x:v>0</x:v>
      </x:c>
      <x:c r="R84" s="10" t="n">
        <x:f>IF(L84=1,0,COUNTIFS($A$5:$A$148,A84,$B$5:$B$148,B84,$L$5:$L$148,0,$Q$5:$Q$148,"&gt;"&amp;Q84)+COUNTIFS($A$5:$A$148,A84,$B$5:$B$148,B84,$L$5:$L$148,0,$Q$5:$Q$148,Q84,$C$5:$C$148,"&lt;"&amp;C84)+1)</x:f>
        <x:v>4</x:v>
      </x:c>
      <x:c r="S84" s="10" t="n">
        <x:f>ROUND(M84*100-SUMIFS($P$5:$P$148,$A$5:$A$148,A84,$B$5:$B$148,B84,$L$5:$L$148,0),0)</x:f>
        <x:v>2</x:v>
      </x:c>
      <x:c r="T84" s="16" t="n">
        <x:f>IF(L84=1,J84,(P84+IF(R84&lt;=S84,1,0))/100)</x:f>
        <x:v>0</x:v>
      </x:c>
      <x:c r="U84" s="30" t="n">
        <x:f>'项目计算'!S24</x:f>
        <x:v>0</x:v>
      </x:c>
      <x:c r="V84" s="16" t="n">
        <x:f>ROUND(T84*(1-U84),2)</x:f>
        <x:v>0</x:v>
      </x:c>
      <x:c r="W84" s="16" t="n">
        <x:f>T84-V84</x:f>
        <x:v>0</x:v>
      </x:c>
    </x:row>
    <x:row r="85" ht="22" customHeight="1">
      <x:c r="A85" s="1" t="str">
        <x:v>V2</x:v>
      </x:c>
      <x:c r="B85" s="1" t="str">
        <x:v>J09</x:v>
      </x:c>
      <x:c r="C85" s="1" t="str">
        <x:v>J09-U007</x:v>
      </x:c>
      <x:c r="D85" s="1" t="str">
        <x:v>U007</x:v>
      </x:c>
      <x:c r="E85" s="23" t="n">
        <x:v>132.5</x:v>
      </x:c>
      <x:c r="F85" s="23" t="n">
        <x:v>1.2</x:v>
      </x:c>
      <x:c r="G85" s="1" t="n">
        <x:v>94</x:v>
      </x:c>
      <x:c r="H85" s="1" t="n">
        <x:v>1</x:v>
      </x:c>
      <x:c r="I85" s="25" t="n">
        <x:f>E85*F85*G85/100*H85</x:f>
        <x:v>149.46</x:v>
      </x:c>
      <x:c r="J85" s="15"/>
      <x:c r="K85" s="17" t="n">
        <x:f>'项目计算'!R25</x:f>
        <x:v>16800</x:v>
      </x:c>
      <x:c r="L85" s="1" t="n">
        <x:v>0</x:v>
      </x:c>
      <x:c r="M85" s="15" t="n">
        <x:f>K85-SUMIFS($J$5:$J$148,$A$5:$A$148,A85,$B$5:$B$148,B85)</x:f>
        <x:v>16800</x:v>
      </x:c>
      <x:c r="N85" s="27" t="n">
        <x:f>SUMIFS($I$5:$I$148,$A$5:$A$148,A85,$B$5:$B$148,B85,$L$5:$L$148,0)</x:f>
        <x:v>378.1895</x:v>
      </x:c>
      <x:c r="O85" s="27" t="n">
        <x:f>IF(L85=1,J85*100,IF(N85=0,0,M85*100*I85/N85))</x:f>
        <x:v>663933.8215365577</x:v>
      </x:c>
      <x:c r="P85" s="27" t="n">
        <x:f>ROUNDDOWN(O85,0)</x:f>
        <x:v>663933</x:v>
      </x:c>
      <x:c r="Q85" s="27" t="n">
        <x:f>ROUND(O85-P85,10)</x:f>
        <x:v>0.8215365577</x:v>
      </x:c>
      <x:c r="R85" s="1" t="n">
        <x:f>IF(L85=1,0,COUNTIFS($A$5:$A$148,A85,$B$5:$B$148,B85,$L$5:$L$148,0,$Q$5:$Q$148,"&gt;"&amp;Q85)+COUNTIFS($A$5:$A$148,A85,$B$5:$B$148,B85,$L$5:$L$148,0,$Q$5:$Q$148,Q85,$C$5:$C$148,"&lt;"&amp;C85)+1)</x:f>
        <x:v>1</x:v>
      </x:c>
      <x:c r="S85" s="1" t="n">
        <x:f>ROUND(M85*100-SUMIFS($P$5:$P$148,$A$5:$A$148,A85,$B$5:$B$148,B85,$L$5:$L$148,0),0)</x:f>
        <x:v>3</x:v>
      </x:c>
      <x:c r="T85" s="15" t="n">
        <x:f>IF(L85=1,J85,(P85+IF(R85&lt;=S85,1,0))/100)</x:f>
        <x:v>6639.34</x:v>
      </x:c>
      <x:c r="U85" s="29" t="n">
        <x:f>'项目计算'!S25</x:f>
        <x:v>0.2</x:v>
      </x:c>
      <x:c r="V85" s="15" t="n">
        <x:f>ROUND(T85*(1-U85),2)</x:f>
        <x:v>5311.47</x:v>
      </x:c>
      <x:c r="W85" s="15" t="n">
        <x:f>T85-V85</x:f>
        <x:v>1327.87</x:v>
      </x:c>
    </x:row>
    <x:row r="86" ht="22" customHeight="1">
      <x:c r="A86" s="10" t="str">
        <x:v>V2</x:v>
      </x:c>
      <x:c r="B86" s="10" t="str">
        <x:v>J09</x:v>
      </x:c>
      <x:c r="C86" s="10" t="str">
        <x:v>J09-U008</x:v>
      </x:c>
      <x:c r="D86" s="10" t="str">
        <x:v>U008</x:v>
      </x:c>
      <x:c r="E86" s="24" t="n">
        <x:v>77.5</x:v>
      </x:c>
      <x:c r="F86" s="24" t="n">
        <x:v>1</x:v>
      </x:c>
      <x:c r="G86" s="10" t="n">
        <x:v>97</x:v>
      </x:c>
      <x:c r="H86" s="10" t="n">
        <x:v>1</x:v>
      </x:c>
      <x:c r="I86" s="26" t="n">
        <x:f>E86*F86*G86/100*H86</x:f>
        <x:v>75.175</x:v>
      </x:c>
      <x:c r="J86" s="16"/>
      <x:c r="K86" s="18" t="n">
        <x:f>'项目计算'!R25</x:f>
        <x:v>16800</x:v>
      </x:c>
      <x:c r="L86" s="10" t="n">
        <x:v>0</x:v>
      </x:c>
      <x:c r="M86" s="16" t="n">
        <x:f>K86-SUMIFS($J$5:$J$148,$A$5:$A$148,A86,$B$5:$B$148,B86)</x:f>
        <x:v>16800</x:v>
      </x:c>
      <x:c r="N86" s="28" t="n">
        <x:f>SUMIFS($I$5:$I$148,$A$5:$A$148,A86,$B$5:$B$148,B86,$L$5:$L$148,0)</x:f>
        <x:v>378.1895</x:v>
      </x:c>
      <x:c r="O86" s="28" t="n">
        <x:f>IF(L86=1,J86*100,IF(N86=0,0,M86*100*I86/N86))</x:f>
        <x:v>333943.6975378745</x:v>
      </x:c>
      <x:c r="P86" s="28" t="n">
        <x:f>ROUNDDOWN(O86,0)</x:f>
        <x:v>333943</x:v>
      </x:c>
      <x:c r="Q86" s="28" t="n">
        <x:f>ROUND(O86-P86,10)</x:f>
        <x:v>0.6975378745</x:v>
      </x:c>
      <x:c r="R86" s="10" t="n">
        <x:f>IF(L86=1,0,COUNTIFS($A$5:$A$148,A86,$B$5:$B$148,B86,$L$5:$L$148,0,$Q$5:$Q$148,"&gt;"&amp;Q86)+COUNTIFS($A$5:$A$148,A86,$B$5:$B$148,B86,$L$5:$L$148,0,$Q$5:$Q$148,Q86,$C$5:$C$148,"&lt;"&amp;C86)+1)</x:f>
        <x:v>3</x:v>
      </x:c>
      <x:c r="S86" s="10" t="n">
        <x:f>ROUND(M86*100-SUMIFS($P$5:$P$148,$A$5:$A$148,A86,$B$5:$B$148,B86,$L$5:$L$148,0),0)</x:f>
        <x:v>3</x:v>
      </x:c>
      <x:c r="T86" s="16" t="n">
        <x:f>IF(L86=1,J86,(P86+IF(R86&lt;=S86,1,0))/100)</x:f>
        <x:v>3339.44</x:v>
      </x:c>
      <x:c r="U86" s="30" t="n">
        <x:f>'项目计算'!S25</x:f>
        <x:v>0.2</x:v>
      </x:c>
      <x:c r="V86" s="16" t="n">
        <x:f>ROUND(T86*(1-U86),2)</x:f>
        <x:v>2671.55</x:v>
      </x:c>
      <x:c r="W86" s="16" t="n">
        <x:f>T86-V86</x:f>
        <x:v>667.8899999999999</x:v>
      </x:c>
    </x:row>
    <x:row r="87" ht="22" customHeight="1">
      <x:c r="A87" s="1" t="str">
        <x:v>V2</x:v>
      </x:c>
      <x:c r="B87" s="1" t="str">
        <x:v>J09</x:v>
      </x:c>
      <x:c r="C87" s="1" t="str">
        <x:v>J09-U009</x:v>
      </x:c>
      <x:c r="D87" s="1" t="str">
        <x:v>U009</x:v>
      </x:c>
      <x:c r="E87" s="23" t="n">
        <x:v>83</x:v>
      </x:c>
      <x:c r="F87" s="23" t="n">
        <x:v>1.1</x:v>
      </x:c>
      <x:c r="G87" s="1" t="n">
        <x:v>79</x:v>
      </x:c>
      <x:c r="H87" s="1" t="n">
        <x:v>1</x:v>
      </x:c>
      <x:c r="I87" s="25" t="n">
        <x:f>E87*F87*G87/100*H87</x:f>
        <x:v>72.12700000000001</x:v>
      </x:c>
      <x:c r="J87" s="15"/>
      <x:c r="K87" s="17" t="n">
        <x:f>'项目计算'!R25</x:f>
        <x:v>16800</x:v>
      </x:c>
      <x:c r="L87" s="1" t="n">
        <x:v>0</x:v>
      </x:c>
      <x:c r="M87" s="15" t="n">
        <x:f>K87-SUMIFS($J$5:$J$148,$A$5:$A$148,A87,$B$5:$B$148,B87)</x:f>
        <x:v>16800</x:v>
      </x:c>
      <x:c r="N87" s="27" t="n">
        <x:f>SUMIFS($I$5:$I$148,$A$5:$A$148,A87,$B$5:$B$148,B87,$L$5:$L$148,0)</x:f>
        <x:v>378.1895</x:v>
      </x:c>
      <x:c r="O87" s="27" t="n">
        <x:f>IF(L87=1,J87*100,IF(N87=0,0,M87*100*I87/N87))</x:f>
        <x:v>320403.8187205092</x:v>
      </x:c>
      <x:c r="P87" s="27" t="n">
        <x:f>ROUNDDOWN(O87,0)</x:f>
        <x:v>320403</x:v>
      </x:c>
      <x:c r="Q87" s="27" t="n">
        <x:f>ROUND(O87-P87,10)</x:f>
        <x:v>0.8187205092</x:v>
      </x:c>
      <x:c r="R87" s="1" t="n">
        <x:f>IF(L87=1,0,COUNTIFS($A$5:$A$148,A87,$B$5:$B$148,B87,$L$5:$L$148,0,$Q$5:$Q$148,"&gt;"&amp;Q87)+COUNTIFS($A$5:$A$148,A87,$B$5:$B$148,B87,$L$5:$L$148,0,$Q$5:$Q$148,Q87,$C$5:$C$148,"&lt;"&amp;C87)+1)</x:f>
        <x:v>2</x:v>
      </x:c>
      <x:c r="S87" s="1" t="n">
        <x:f>ROUND(M87*100-SUMIFS($P$5:$P$148,$A$5:$A$148,A87,$B$5:$B$148,B87,$L$5:$L$148,0),0)</x:f>
        <x:v>3</x:v>
      </x:c>
      <x:c r="T87" s="15" t="n">
        <x:f>IF(L87=1,J87,(P87+IF(R87&lt;=S87,1,0))/100)</x:f>
        <x:v>3204.04</x:v>
      </x:c>
      <x:c r="U87" s="29" t="n">
        <x:f>'项目计算'!S25</x:f>
        <x:v>0.2</x:v>
      </x:c>
      <x:c r="V87" s="15" t="n">
        <x:f>ROUND(T87*(1-U87),2)</x:f>
        <x:v>2563.23</x:v>
      </x:c>
      <x:c r="W87" s="15" t="n">
        <x:f>T87-V87</x:f>
        <x:v>640.81</x:v>
      </x:c>
    </x:row>
    <x:row r="88" ht="22" customHeight="1">
      <x:c r="A88" s="10" t="str">
        <x:v>V2</x:v>
      </x:c>
      <x:c r="B88" s="10" t="str">
        <x:v>J09</x:v>
      </x:c>
      <x:c r="C88" s="10" t="str">
        <x:v>J09-U010</x:v>
      </x:c>
      <x:c r="D88" s="10" t="str">
        <x:v>U010</x:v>
      </x:c>
      <x:c r="E88" s="24" t="n">
        <x:v>117.5</x:v>
      </x:c>
      <x:c r="F88" s="24" t="n">
        <x:v>0.9</x:v>
      </x:c>
      <x:c r="G88" s="10" t="n">
        <x:v>77</x:v>
      </x:c>
      <x:c r="H88" s="10" t="n">
        <x:v>1</x:v>
      </x:c>
      <x:c r="I88" s="26" t="n">
        <x:f>E88*F88*G88/100*H88</x:f>
        <x:v>81.4275</x:v>
      </x:c>
      <x:c r="J88" s="16"/>
      <x:c r="K88" s="18" t="n">
        <x:f>'项目计算'!R25</x:f>
        <x:v>16800</x:v>
      </x:c>
      <x:c r="L88" s="10" t="n">
        <x:v>0</x:v>
      </x:c>
      <x:c r="M88" s="16" t="n">
        <x:f>K88-SUMIFS($J$5:$J$148,$A$5:$A$148,A88,$B$5:$B$148,B88)</x:f>
        <x:v>16800</x:v>
      </x:c>
      <x:c r="N88" s="28" t="n">
        <x:f>SUMIFS($I$5:$I$148,$A$5:$A$148,A88,$B$5:$B$148,B88,$L$5:$L$148,0)</x:f>
        <x:v>378.1895</x:v>
      </x:c>
      <x:c r="O88" s="28" t="n">
        <x:f>IF(L88=1,J88*100,IF(N88=0,0,M88*100*I88/N88))</x:f>
        <x:v>361718.66220505856</x:v>
      </x:c>
      <x:c r="P88" s="28" t="n">
        <x:f>ROUNDDOWN(O88,0)</x:f>
        <x:v>361718</x:v>
      </x:c>
      <x:c r="Q88" s="28" t="n">
        <x:f>ROUND(O88-P88,10)</x:f>
        <x:v>0.6622050586</x:v>
      </x:c>
      <x:c r="R88" s="10" t="n">
        <x:f>IF(L88=1,0,COUNTIFS($A$5:$A$148,A88,$B$5:$B$148,B88,$L$5:$L$148,0,$Q$5:$Q$148,"&gt;"&amp;Q88)+COUNTIFS($A$5:$A$148,A88,$B$5:$B$148,B88,$L$5:$L$148,0,$Q$5:$Q$148,Q88,$C$5:$C$148,"&lt;"&amp;C88)+1)</x:f>
        <x:v>4</x:v>
      </x:c>
      <x:c r="S88" s="10" t="n">
        <x:f>ROUND(M88*100-SUMIFS($P$5:$P$148,$A$5:$A$148,A88,$B$5:$B$148,B88,$L$5:$L$148,0),0)</x:f>
        <x:v>3</x:v>
      </x:c>
      <x:c r="T88" s="16" t="n">
        <x:f>IF(L88=1,J88,(P88+IF(R88&lt;=S88,1,0))/100)</x:f>
        <x:v>3617.18</x:v>
      </x:c>
      <x:c r="U88" s="30" t="n">
        <x:f>'项目计算'!S25</x:f>
        <x:v>0.2</x:v>
      </x:c>
      <x:c r="V88" s="16" t="n">
        <x:f>ROUND(T88*(1-U88),2)</x:f>
        <x:v>2893.74</x:v>
      </x:c>
      <x:c r="W88" s="16" t="n">
        <x:f>T88-V88</x:f>
        <x:v>723.44</x:v>
      </x:c>
    </x:row>
    <x:row r="89" ht="22" customHeight="1">
      <x:c r="A89" s="1" t="str">
        <x:v>V2</x:v>
      </x:c>
      <x:c r="B89" s="1" t="str">
        <x:v>J10</x:v>
      </x:c>
      <x:c r="C89" s="1" t="str">
        <x:v>J10-U010</x:v>
      </x:c>
      <x:c r="D89" s="1" t="str">
        <x:v>U010</x:v>
      </x:c>
      <x:c r="E89" s="23" t="n">
        <x:v>116.5</x:v>
      </x:c>
      <x:c r="F89" s="23" t="n">
        <x:v>1.2</x:v>
      </x:c>
      <x:c r="G89" s="1" t="n">
        <x:v>60</x:v>
      </x:c>
      <x:c r="H89" s="1" t="n">
        <x:v>1</x:v>
      </x:c>
      <x:c r="I89" s="25" t="n">
        <x:f>E89*F89*G89/100*H89</x:f>
        <x:v>83.87999999999998</x:v>
      </x:c>
      <x:c r="J89" s="15"/>
      <x:c r="K89" s="17" t="n">
        <x:f>'项目计算'!R26</x:f>
        <x:v>8000</x:v>
      </x:c>
      <x:c r="L89" s="1" t="n">
        <x:v>0</x:v>
      </x:c>
      <x:c r="M89" s="15" t="n">
        <x:f>K89-SUMIFS($J$5:$J$148,$A$5:$A$148,A89,$B$5:$B$148,B89)</x:f>
        <x:v>8000</x:v>
      </x:c>
      <x:c r="N89" s="27" t="n">
        <x:f>SUMIFS($I$5:$I$148,$A$5:$A$148,A89,$B$5:$B$148,B89,$L$5:$L$148,0)</x:f>
        <x:v>330.48749999999995</x:v>
      </x:c>
      <x:c r="O89" s="27" t="n">
        <x:f>IF(L89=1,J89*100,IF(N89=0,0,M89*100*I89/N89))</x:f>
        <x:v>203045.50096448426</x:v>
      </x:c>
      <x:c r="P89" s="27" t="n">
        <x:f>ROUNDDOWN(O89,0)</x:f>
        <x:v>203045</x:v>
      </x:c>
      <x:c r="Q89" s="27" t="n">
        <x:f>ROUND(O89-P89,10)</x:f>
        <x:v>0.5009644843</x:v>
      </x:c>
      <x:c r="R89" s="1" t="n">
        <x:f>IF(L89=1,0,COUNTIFS($A$5:$A$148,A89,$B$5:$B$148,B89,$L$5:$L$148,0,$Q$5:$Q$148,"&gt;"&amp;Q89)+COUNTIFS($A$5:$A$148,A89,$B$5:$B$148,B89,$L$5:$L$148,0,$Q$5:$Q$148,Q89,$C$5:$C$148,"&lt;"&amp;C89)+1)</x:f>
        <x:v>1</x:v>
      </x:c>
      <x:c r="S89" s="1" t="n">
        <x:f>ROUND(M89*100-SUMIFS($P$5:$P$148,$A$5:$A$148,A89,$B$5:$B$148,B89,$L$5:$L$148,0),0)</x:f>
        <x:v>1</x:v>
      </x:c>
      <x:c r="T89" s="15" t="n">
        <x:f>IF(L89=1,J89,(P89+IF(R89&lt;=S89,1,0))/100)</x:f>
        <x:v>2030.46</x:v>
      </x:c>
      <x:c r="U89" s="29" t="n">
        <x:f>'项目计算'!S26</x:f>
        <x:v>0</x:v>
      </x:c>
      <x:c r="V89" s="15" t="n">
        <x:f>ROUND(T89*(1-U89),2)</x:f>
        <x:v>2030.46</x:v>
      </x:c>
      <x:c r="W89" s="15" t="n">
        <x:f>T89-V89</x:f>
        <x:v>0</x:v>
      </x:c>
    </x:row>
    <x:row r="90" ht="22" customHeight="1">
      <x:c r="A90" s="10" t="str">
        <x:v>V2</x:v>
      </x:c>
      <x:c r="B90" s="10" t="str">
        <x:v>J10</x:v>
      </x:c>
      <x:c r="C90" s="10" t="str">
        <x:v>J10-U011</x:v>
      </x:c>
      <x:c r="D90" s="10" t="str">
        <x:v>U011</x:v>
      </x:c>
      <x:c r="E90" s="24" t="n">
        <x:v>117.5</x:v>
      </x:c>
      <x:c r="F90" s="24" t="n">
        <x:v>1</x:v>
      </x:c>
      <x:c r="G90" s="10" t="n">
        <x:v>96</x:v>
      </x:c>
      <x:c r="H90" s="10" t="n">
        <x:v>1</x:v>
      </x:c>
      <x:c r="I90" s="26" t="n">
        <x:f>E90*F90*G90/100*H90</x:f>
        <x:v>112.8</x:v>
      </x:c>
      <x:c r="J90" s="16"/>
      <x:c r="K90" s="18" t="n">
        <x:f>'项目计算'!R26</x:f>
        <x:v>8000</x:v>
      </x:c>
      <x:c r="L90" s="10" t="n">
        <x:v>0</x:v>
      </x:c>
      <x:c r="M90" s="16" t="n">
        <x:f>K90-SUMIFS($J$5:$J$148,$A$5:$A$148,A90,$B$5:$B$148,B90)</x:f>
        <x:v>8000</x:v>
      </x:c>
      <x:c r="N90" s="28" t="n">
        <x:f>SUMIFS($I$5:$I$148,$A$5:$A$148,A90,$B$5:$B$148,B90,$L$5:$L$148,0)</x:f>
        <x:v>330.48749999999995</x:v>
      </x:c>
      <x:c r="O90" s="28" t="n">
        <x:f>IF(L90=1,J90*100,IF(N90=0,0,M90*100*I90/N90))</x:f>
        <x:v>273051.1744014524</x:v>
      </x:c>
      <x:c r="P90" s="28" t="n">
        <x:f>ROUNDDOWN(O90,0)</x:f>
        <x:v>273051</x:v>
      </x:c>
      <x:c r="Q90" s="28" t="n">
        <x:f>ROUND(O90-P90,10)</x:f>
        <x:v>0.1744014524</x:v>
      </x:c>
      <x:c r="R90" s="10" t="n">
        <x:f>IF(L90=1,0,COUNTIFS($A$5:$A$148,A90,$B$5:$B$148,B90,$L$5:$L$148,0,$Q$5:$Q$148,"&gt;"&amp;Q90)+COUNTIFS($A$5:$A$148,A90,$B$5:$B$148,B90,$L$5:$L$148,0,$Q$5:$Q$148,Q90,$C$5:$C$148,"&lt;"&amp;C90)+1)</x:f>
        <x:v>3</x:v>
      </x:c>
      <x:c r="S90" s="10" t="n">
        <x:f>ROUND(M90*100-SUMIFS($P$5:$P$148,$A$5:$A$148,A90,$B$5:$B$148,B90,$L$5:$L$148,0),0)</x:f>
        <x:v>1</x:v>
      </x:c>
      <x:c r="T90" s="16" t="n">
        <x:f>IF(L90=1,J90,(P90+IF(R90&lt;=S90,1,0))/100)</x:f>
        <x:v>2730.51</x:v>
      </x:c>
      <x:c r="U90" s="30" t="n">
        <x:f>'项目计算'!S26</x:f>
        <x:v>0</x:v>
      </x:c>
      <x:c r="V90" s="16" t="n">
        <x:f>ROUND(T90*(1-U90),2)</x:f>
        <x:v>2730.51</x:v>
      </x:c>
      <x:c r="W90" s="16" t="n">
        <x:f>T90-V90</x:f>
        <x:v>0</x:v>
      </x:c>
    </x:row>
    <x:row r="91" ht="22" customHeight="1">
      <x:c r="A91" s="1" t="str">
        <x:v>V2</x:v>
      </x:c>
      <x:c r="B91" s="1" t="str">
        <x:v>J10</x:v>
      </x:c>
      <x:c r="C91" s="1" t="str">
        <x:v>J10-U012</x:v>
      </x:c>
      <x:c r="D91" s="1" t="str">
        <x:v>U012</x:v>
      </x:c>
      <x:c r="E91" s="23" t="n">
        <x:v>54</x:v>
      </x:c>
      <x:c r="F91" s="23" t="n">
        <x:v>1.1</x:v>
      </x:c>
      <x:c r="G91" s="1" t="n">
        <x:v>95</x:v>
      </x:c>
      <x:c r="H91" s="1" t="n">
        <x:v>1</x:v>
      </x:c>
      <x:c r="I91" s="25" t="n">
        <x:f>E91*F91*G91/100*H91</x:f>
        <x:v>56.43000000000001</x:v>
      </x:c>
      <x:c r="J91" s="15"/>
      <x:c r="K91" s="17" t="n">
        <x:f>'项目计算'!R26</x:f>
        <x:v>8000</x:v>
      </x:c>
      <x:c r="L91" s="1" t="n">
        <x:v>0</x:v>
      </x:c>
      <x:c r="M91" s="15" t="n">
        <x:f>K91-SUMIFS($J$5:$J$148,$A$5:$A$148,A91,$B$5:$B$148,B91)</x:f>
        <x:v>8000</x:v>
      </x:c>
      <x:c r="N91" s="27" t="n">
        <x:f>SUMIFS($I$5:$I$148,$A$5:$A$148,A91,$B$5:$B$148,B91,$L$5:$L$148,0)</x:f>
        <x:v>330.48749999999995</x:v>
      </x:c>
      <x:c r="O91" s="27" t="n">
        <x:f>IF(L91=1,J91*100,IF(N91=0,0,M91*100*I91/N91))</x:f>
        <x:v>136598.20719391812</x:v>
      </x:c>
      <x:c r="P91" s="27" t="n">
        <x:f>ROUNDDOWN(O91,0)</x:f>
        <x:v>136598</x:v>
      </x:c>
      <x:c r="Q91" s="27" t="n">
        <x:f>ROUND(O91-P91,10)</x:f>
        <x:v>0.2071939181</x:v>
      </x:c>
      <x:c r="R91" s="1" t="n">
        <x:f>IF(L91=1,0,COUNTIFS($A$5:$A$148,A91,$B$5:$B$148,B91,$L$5:$L$148,0,$Q$5:$Q$148,"&gt;"&amp;Q91)+COUNTIFS($A$5:$A$148,A91,$B$5:$B$148,B91,$L$5:$L$148,0,$Q$5:$Q$148,Q91,$C$5:$C$148,"&lt;"&amp;C91)+1)</x:f>
        <x:v>2</x:v>
      </x:c>
      <x:c r="S91" s="1" t="n">
        <x:f>ROUND(M91*100-SUMIFS($P$5:$P$148,$A$5:$A$148,A91,$B$5:$B$148,B91,$L$5:$L$148,0),0)</x:f>
        <x:v>1</x:v>
      </x:c>
      <x:c r="T91" s="15" t="n">
        <x:f>IF(L91=1,J91,(P91+IF(R91&lt;=S91,1,0))/100)</x:f>
        <x:v>1365.98</x:v>
      </x:c>
      <x:c r="U91" s="29" t="n">
        <x:f>'项目计算'!S26</x:f>
        <x:v>0</x:v>
      </x:c>
      <x:c r="V91" s="15" t="n">
        <x:f>ROUND(T91*(1-U91),2)</x:f>
        <x:v>1365.98</x:v>
      </x:c>
      <x:c r="W91" s="15" t="n">
        <x:f>T91-V91</x:f>
        <x:v>0</x:v>
      </x:c>
    </x:row>
    <x:row r="92" ht="22" customHeight="1">
      <x:c r="A92" s="10" t="str">
        <x:v>V2</x:v>
      </x:c>
      <x:c r="B92" s="10" t="str">
        <x:v>J10</x:v>
      </x:c>
      <x:c r="C92" s="10" t="str">
        <x:v>J10-U013</x:v>
      </x:c>
      <x:c r="D92" s="10" t="str">
        <x:v>U013</x:v>
      </x:c>
      <x:c r="E92" s="24" t="n">
        <x:v>90.5</x:v>
      </x:c>
      <x:c r="F92" s="24" t="n">
        <x:v>0.9</x:v>
      </x:c>
      <x:c r="G92" s="10" t="n">
        <x:v>95</x:v>
      </x:c>
      <x:c r="H92" s="10" t="n">
        <x:v>1</x:v>
      </x:c>
      <x:c r="I92" s="26" t="n">
        <x:f>E92*F92*G92/100*H92</x:f>
        <x:v>77.3775</x:v>
      </x:c>
      <x:c r="J92" s="16"/>
      <x:c r="K92" s="18" t="n">
        <x:f>'项目计算'!R26</x:f>
        <x:v>8000</x:v>
      </x:c>
      <x:c r="L92" s="10" t="n">
        <x:v>0</x:v>
      </x:c>
      <x:c r="M92" s="16" t="n">
        <x:f>K92-SUMIFS($J$5:$J$148,$A$5:$A$148,A92,$B$5:$B$148,B92)</x:f>
        <x:v>8000</x:v>
      </x:c>
      <x:c r="N92" s="28" t="n">
        <x:f>SUMIFS($I$5:$I$148,$A$5:$A$148,A92,$B$5:$B$148,B92,$L$5:$L$148,0)</x:f>
        <x:v>330.48749999999995</x:v>
      </x:c>
      <x:c r="O92" s="28" t="n">
        <x:f>IF(L92=1,J92*100,IF(N92=0,0,M92*100*I92/N92))</x:f>
        <x:v>187305.11744014526</x:v>
      </x:c>
      <x:c r="P92" s="28" t="n">
        <x:f>ROUNDDOWN(O92,0)</x:f>
        <x:v>187305</x:v>
      </x:c>
      <x:c r="Q92" s="28" t="n">
        <x:f>ROUND(O92-P92,10)</x:f>
        <x:v>0.1174401453</x:v>
      </x:c>
      <x:c r="R92" s="10" t="n">
        <x:f>IF(L92=1,0,COUNTIFS($A$5:$A$148,A92,$B$5:$B$148,B92,$L$5:$L$148,0,$Q$5:$Q$148,"&gt;"&amp;Q92)+COUNTIFS($A$5:$A$148,A92,$B$5:$B$148,B92,$L$5:$L$148,0,$Q$5:$Q$148,Q92,$C$5:$C$148,"&lt;"&amp;C92)+1)</x:f>
        <x:v>4</x:v>
      </x:c>
      <x:c r="S92" s="10" t="n">
        <x:f>ROUND(M92*100-SUMIFS($P$5:$P$148,$A$5:$A$148,A92,$B$5:$B$148,B92,$L$5:$L$148,0),0)</x:f>
        <x:v>1</x:v>
      </x:c>
      <x:c r="T92" s="16" t="n">
        <x:f>IF(L92=1,J92,(P92+IF(R92&lt;=S92,1,0))/100)</x:f>
        <x:v>1873.05</x:v>
      </x:c>
      <x:c r="U92" s="30" t="n">
        <x:f>'项目计算'!S26</x:f>
        <x:v>0</x:v>
      </x:c>
      <x:c r="V92" s="16" t="n">
        <x:f>ROUND(T92*(1-U92),2)</x:f>
        <x:v>1873.05</x:v>
      </x:c>
      <x:c r="W92" s="16" t="n">
        <x:f>T92-V92</x:f>
        <x:v>0</x:v>
      </x:c>
    </x:row>
    <x:row r="93" ht="22" customHeight="1">
      <x:c r="A93" s="1" t="str">
        <x:v>V2</x:v>
      </x:c>
      <x:c r="B93" s="1" t="str">
        <x:v>J11</x:v>
      </x:c>
      <x:c r="C93" s="1" t="str">
        <x:v>J11-U013</x:v>
      </x:c>
      <x:c r="D93" s="1" t="str">
        <x:v>U013</x:v>
      </x:c>
      <x:c r="E93" s="23" t="n">
        <x:v>95.5</x:v>
      </x:c>
      <x:c r="F93" s="23" t="n">
        <x:v>1.2</x:v>
      </x:c>
      <x:c r="G93" s="1" t="n">
        <x:v>65</x:v>
      </x:c>
      <x:c r="H93" s="1" t="n">
        <x:v>1</x:v>
      </x:c>
      <x:c r="I93" s="25" t="n">
        <x:f>E93*F93*G93/100*H93</x:f>
        <x:v>74.49</x:v>
      </x:c>
      <x:c r="J93" s="15"/>
      <x:c r="K93" s="17" t="n">
        <x:f>'项目计算'!R27</x:f>
        <x:v>0</x:v>
      </x:c>
      <x:c r="L93" s="1" t="n">
        <x:v>0</x:v>
      </x:c>
      <x:c r="M93" s="15" t="n">
        <x:f>K93-SUMIFS($J$5:$J$148,$A$5:$A$148,A93,$B$5:$B$148,B93)</x:f>
        <x:v>0</x:v>
      </x:c>
      <x:c r="N93" s="27" t="n">
        <x:f>SUMIFS($I$5:$I$148,$A$5:$A$148,A93,$B$5:$B$148,B93,$L$5:$L$148,0)</x:f>
        <x:v>357.88700000000006</x:v>
      </x:c>
      <x:c r="O93" s="27" t="n">
        <x:f>IF(L93=1,J93*100,IF(N93=0,0,M93*100*I93/N93))</x:f>
        <x:v>0</x:v>
      </x:c>
      <x:c r="P93" s="27" t="n">
        <x:f>ROUNDDOWN(O93,0)</x:f>
        <x:v>0</x:v>
      </x:c>
      <x:c r="Q93" s="27" t="n">
        <x:f>ROUND(O93-P93,10)</x:f>
        <x:v>0</x:v>
      </x:c>
      <x:c r="R93" s="1" t="n">
        <x:f>IF(L93=1,0,COUNTIFS($A$5:$A$148,A93,$B$5:$B$148,B93,$L$5:$L$148,0,$Q$5:$Q$148,"&gt;"&amp;Q93)+COUNTIFS($A$5:$A$148,A93,$B$5:$B$148,B93,$L$5:$L$148,0,$Q$5:$Q$148,Q93,$C$5:$C$148,"&lt;"&amp;C93)+1)</x:f>
        <x:v>1</x:v>
      </x:c>
      <x:c r="S93" s="1" t="n">
        <x:f>ROUND(M93*100-SUMIFS($P$5:$P$148,$A$5:$A$148,A93,$B$5:$B$148,B93,$L$5:$L$148,0),0)</x:f>
        <x:v>0</x:v>
      </x:c>
      <x:c r="T93" s="15" t="n">
        <x:f>IF(L93=1,J93,(P93+IF(R93&lt;=S93,1,0))/100)</x:f>
        <x:v>0</x:v>
      </x:c>
      <x:c r="U93" s="29" t="n">
        <x:f>'项目计算'!S27</x:f>
        <x:v>0.2</x:v>
      </x:c>
      <x:c r="V93" s="15" t="n">
        <x:f>ROUND(T93*(1-U93),2)</x:f>
        <x:v>0</x:v>
      </x:c>
      <x:c r="W93" s="15" t="n">
        <x:f>T93-V93</x:f>
        <x:v>0</x:v>
      </x:c>
    </x:row>
    <x:row r="94" ht="22" customHeight="1">
      <x:c r="A94" s="10" t="str">
        <x:v>V2</x:v>
      </x:c>
      <x:c r="B94" s="10" t="str">
        <x:v>J11</x:v>
      </x:c>
      <x:c r="C94" s="10" t="str">
        <x:v>J11-U014</x:v>
      </x:c>
      <x:c r="D94" s="10" t="str">
        <x:v>U014</x:v>
      </x:c>
      <x:c r="E94" s="24" t="n">
        <x:v>106.5</x:v>
      </x:c>
      <x:c r="F94" s="24" t="n">
        <x:v>1</x:v>
      </x:c>
      <x:c r="G94" s="10" t="n">
        <x:v>79</x:v>
      </x:c>
      <x:c r="H94" s="10" t="n">
        <x:v>1</x:v>
      </x:c>
      <x:c r="I94" s="26" t="n">
        <x:f>E94*F94*G94/100*H94</x:f>
        <x:v>84.135</x:v>
      </x:c>
      <x:c r="J94" s="16"/>
      <x:c r="K94" s="18" t="n">
        <x:f>'项目计算'!R27</x:f>
        <x:v>0</x:v>
      </x:c>
      <x:c r="L94" s="10" t="n">
        <x:v>0</x:v>
      </x:c>
      <x:c r="M94" s="16" t="n">
        <x:f>K94-SUMIFS($J$5:$J$148,$A$5:$A$148,A94,$B$5:$B$148,B94)</x:f>
        <x:v>0</x:v>
      </x:c>
      <x:c r="N94" s="28" t="n">
        <x:f>SUMIFS($I$5:$I$148,$A$5:$A$148,A94,$B$5:$B$148,B94,$L$5:$L$148,0)</x:f>
        <x:v>357.88700000000006</x:v>
      </x:c>
      <x:c r="O94" s="28" t="n">
        <x:f>IF(L94=1,J94*100,IF(N94=0,0,M94*100*I94/N94))</x:f>
        <x:v>0</x:v>
      </x:c>
      <x:c r="P94" s="28" t="n">
        <x:f>ROUNDDOWN(O94,0)</x:f>
        <x:v>0</x:v>
      </x:c>
      <x:c r="Q94" s="28" t="n">
        <x:f>ROUND(O94-P94,10)</x:f>
        <x:v>0</x:v>
      </x:c>
      <x:c r="R94" s="10" t="n">
        <x:f>IF(L94=1,0,COUNTIFS($A$5:$A$148,A94,$B$5:$B$148,B94,$L$5:$L$148,0,$Q$5:$Q$148,"&gt;"&amp;Q94)+COUNTIFS($A$5:$A$148,A94,$B$5:$B$148,B94,$L$5:$L$148,0,$Q$5:$Q$148,Q94,$C$5:$C$148,"&lt;"&amp;C94)+1)</x:f>
        <x:v>2</x:v>
      </x:c>
      <x:c r="S94" s="10" t="n">
        <x:f>ROUND(M94*100-SUMIFS($P$5:$P$148,$A$5:$A$148,A94,$B$5:$B$148,B94,$L$5:$L$148,0),0)</x:f>
        <x:v>0</x:v>
      </x:c>
      <x:c r="T94" s="16" t="n">
        <x:f>IF(L94=1,J94,(P94+IF(R94&lt;=S94,1,0))/100)</x:f>
        <x:v>0</x:v>
      </x:c>
      <x:c r="U94" s="30" t="n">
        <x:f>'项目计算'!S27</x:f>
        <x:v>0.2</x:v>
      </x:c>
      <x:c r="V94" s="16" t="n">
        <x:f>ROUND(T94*(1-U94),2)</x:f>
        <x:v>0</x:v>
      </x:c>
      <x:c r="W94" s="16" t="n">
        <x:f>T94-V94</x:f>
        <x:v>0</x:v>
      </x:c>
    </x:row>
    <x:row r="95" ht="22" customHeight="1">
      <x:c r="A95" s="1" t="str">
        <x:v>V2</x:v>
      </x:c>
      <x:c r="B95" s="1" t="str">
        <x:v>J11</x:v>
      </x:c>
      <x:c r="C95" s="1" t="str">
        <x:v>J11-U015</x:v>
      </x:c>
      <x:c r="D95" s="1" t="str">
        <x:v>U015</x:v>
      </x:c>
      <x:c r="E95" s="23" t="n">
        <x:v>101</x:v>
      </x:c>
      <x:c r="F95" s="23" t="n">
        <x:v>1.1</x:v>
      </x:c>
      <x:c r="G95" s="1" t="n">
        <x:v>95</x:v>
      </x:c>
      <x:c r="H95" s="1" t="n">
        <x:v>1</x:v>
      </x:c>
      <x:c r="I95" s="25" t="n">
        <x:f>E95*F95*G95/100*H95</x:f>
        <x:v>105.545</x:v>
      </x:c>
      <x:c r="J95" s="15"/>
      <x:c r="K95" s="17" t="n">
        <x:f>'项目计算'!R27</x:f>
        <x:v>0</x:v>
      </x:c>
      <x:c r="L95" s="1" t="n">
        <x:v>0</x:v>
      </x:c>
      <x:c r="M95" s="15" t="n">
        <x:f>K95-SUMIFS($J$5:$J$148,$A$5:$A$148,A95,$B$5:$B$148,B95)</x:f>
        <x:v>0</x:v>
      </x:c>
      <x:c r="N95" s="27" t="n">
        <x:f>SUMIFS($I$5:$I$148,$A$5:$A$148,A95,$B$5:$B$148,B95,$L$5:$L$148,0)</x:f>
        <x:v>357.88700000000006</x:v>
      </x:c>
      <x:c r="O95" s="27" t="n">
        <x:f>IF(L95=1,J95*100,IF(N95=0,0,M95*100*I95/N95))</x:f>
        <x:v>0</x:v>
      </x:c>
      <x:c r="P95" s="27" t="n">
        <x:f>ROUNDDOWN(O95,0)</x:f>
        <x:v>0</x:v>
      </x:c>
      <x:c r="Q95" s="27" t="n">
        <x:f>ROUND(O95-P95,10)</x:f>
        <x:v>0</x:v>
      </x:c>
      <x:c r="R95" s="1" t="n">
        <x:f>IF(L95=1,0,COUNTIFS($A$5:$A$148,A95,$B$5:$B$148,B95,$L$5:$L$148,0,$Q$5:$Q$148,"&gt;"&amp;Q95)+COUNTIFS($A$5:$A$148,A95,$B$5:$B$148,B95,$L$5:$L$148,0,$Q$5:$Q$148,Q95,$C$5:$C$148,"&lt;"&amp;C95)+1)</x:f>
        <x:v>3</x:v>
      </x:c>
      <x:c r="S95" s="1" t="n">
        <x:f>ROUND(M95*100-SUMIFS($P$5:$P$148,$A$5:$A$148,A95,$B$5:$B$148,B95,$L$5:$L$148,0),0)</x:f>
        <x:v>0</x:v>
      </x:c>
      <x:c r="T95" s="15" t="n">
        <x:f>IF(L95=1,J95,(P95+IF(R95&lt;=S95,1,0))/100)</x:f>
        <x:v>0</x:v>
      </x:c>
      <x:c r="U95" s="29" t="n">
        <x:f>'项目计算'!S27</x:f>
        <x:v>0.2</x:v>
      </x:c>
      <x:c r="V95" s="15" t="n">
        <x:f>ROUND(T95*(1-U95),2)</x:f>
        <x:v>0</x:v>
      </x:c>
      <x:c r="W95" s="15" t="n">
        <x:f>T95-V95</x:f>
        <x:v>0</x:v>
      </x:c>
    </x:row>
    <x:row r="96" ht="22" customHeight="1">
      <x:c r="A96" s="10" t="str">
        <x:v>V2</x:v>
      </x:c>
      <x:c r="B96" s="10" t="str">
        <x:v>J11</x:v>
      </x:c>
      <x:c r="C96" s="10" t="str">
        <x:v>J11-U016</x:v>
      </x:c>
      <x:c r="D96" s="10" t="str">
        <x:v>U016</x:v>
      </x:c>
      <x:c r="E96" s="24" t="n">
        <x:v>133.5</x:v>
      </x:c>
      <x:c r="F96" s="24" t="n">
        <x:v>0.9</x:v>
      </x:c>
      <x:c r="G96" s="10" t="n">
        <x:v>78</x:v>
      </x:c>
      <x:c r="H96" s="10" t="n">
        <x:v>1</x:v>
      </x:c>
      <x:c r="I96" s="26" t="n">
        <x:f>E96*F96*G96/100*H96</x:f>
        <x:v>93.71700000000001</x:v>
      </x:c>
      <x:c r="J96" s="16"/>
      <x:c r="K96" s="18" t="n">
        <x:f>'项目计算'!R27</x:f>
        <x:v>0</x:v>
      </x:c>
      <x:c r="L96" s="10" t="n">
        <x:v>0</x:v>
      </x:c>
      <x:c r="M96" s="16" t="n">
        <x:f>K96-SUMIFS($J$5:$J$148,$A$5:$A$148,A96,$B$5:$B$148,B96)</x:f>
        <x:v>0</x:v>
      </x:c>
      <x:c r="N96" s="28" t="n">
        <x:f>SUMIFS($I$5:$I$148,$A$5:$A$148,A96,$B$5:$B$148,B96,$L$5:$L$148,0)</x:f>
        <x:v>357.88700000000006</x:v>
      </x:c>
      <x:c r="O96" s="28" t="n">
        <x:f>IF(L96=1,J96*100,IF(N96=0,0,M96*100*I96/N96))</x:f>
        <x:v>0</x:v>
      </x:c>
      <x:c r="P96" s="28" t="n">
        <x:f>ROUNDDOWN(O96,0)</x:f>
        <x:v>0</x:v>
      </x:c>
      <x:c r="Q96" s="28" t="n">
        <x:f>ROUND(O96-P96,10)</x:f>
        <x:v>0</x:v>
      </x:c>
      <x:c r="R96" s="10" t="n">
        <x:f>IF(L96=1,0,COUNTIFS($A$5:$A$148,A96,$B$5:$B$148,B96,$L$5:$L$148,0,$Q$5:$Q$148,"&gt;"&amp;Q96)+COUNTIFS($A$5:$A$148,A96,$B$5:$B$148,B96,$L$5:$L$148,0,$Q$5:$Q$148,Q96,$C$5:$C$148,"&lt;"&amp;C96)+1)</x:f>
        <x:v>4</x:v>
      </x:c>
      <x:c r="S96" s="10" t="n">
        <x:f>ROUND(M96*100-SUMIFS($P$5:$P$148,$A$5:$A$148,A96,$B$5:$B$148,B96,$L$5:$L$148,0),0)</x:f>
        <x:v>0</x:v>
      </x:c>
      <x:c r="T96" s="16" t="n">
        <x:f>IF(L96=1,J96,(P96+IF(R96&lt;=S96,1,0))/100)</x:f>
        <x:v>0</x:v>
      </x:c>
      <x:c r="U96" s="30" t="n">
        <x:f>'项目计算'!S27</x:f>
        <x:v>0.2</x:v>
      </x:c>
      <x:c r="V96" s="16" t="n">
        <x:f>ROUND(T96*(1-U96),2)</x:f>
        <x:v>0</x:v>
      </x:c>
      <x:c r="W96" s="16" t="n">
        <x:f>T96-V96</x:f>
        <x:v>0</x:v>
      </x:c>
    </x:row>
    <x:row r="97" ht="22" customHeight="1">
      <x:c r="A97" s="1" t="str">
        <x:v>V2</x:v>
      </x:c>
      <x:c r="B97" s="1" t="str">
        <x:v>J12</x:v>
      </x:c>
      <x:c r="C97" s="1" t="str">
        <x:v>J12-U016</x:v>
      </x:c>
      <x:c r="D97" s="1" t="str">
        <x:v>U016</x:v>
      </x:c>
      <x:c r="E97" s="23" t="n">
        <x:v>98.5</x:v>
      </x:c>
      <x:c r="F97" s="23" t="n">
        <x:v>1.2</x:v>
      </x:c>
      <x:c r="G97" s="1" t="n">
        <x:v>86</x:v>
      </x:c>
      <x:c r="H97" s="1" t="n">
        <x:v>1</x:v>
      </x:c>
      <x:c r="I97" s="25" t="n">
        <x:f>E97*F97*G97/100*H97</x:f>
        <x:v>101.65199999999999</x:v>
      </x:c>
      <x:c r="J97" s="15"/>
      <x:c r="K97" s="17" t="n">
        <x:f>'项目计算'!R28</x:f>
        <x:v>4365</x:v>
      </x:c>
      <x:c r="L97" s="1" t="n">
        <x:v>0</x:v>
      </x:c>
      <x:c r="M97" s="15" t="n">
        <x:f>K97-SUMIFS($J$5:$J$148,$A$5:$A$148,A97,$B$5:$B$148,B97)</x:f>
        <x:v>4365</x:v>
      </x:c>
      <x:c r="N97" s="27" t="n">
        <x:f>SUMIFS($I$5:$I$148,$A$5:$A$148,A97,$B$5:$B$148,B97,$L$5:$L$148,0)</x:f>
        <x:v>260.29449999999997</x:v>
      </x:c>
      <x:c r="O97" s="27" t="n">
        <x:f>IF(L97=1,J97*100,IF(N97=0,0,M97*100*I97/N97))</x:f>
        <x:v>170464.98485369456</x:v>
      </x:c>
      <x:c r="P97" s="27" t="n">
        <x:f>ROUNDDOWN(O97,0)</x:f>
        <x:v>170464</x:v>
      </x:c>
      <x:c r="Q97" s="27" t="n">
        <x:f>ROUND(O97-P97,10)</x:f>
        <x:v>0.9848536946</x:v>
      </x:c>
      <x:c r="R97" s="1" t="n">
        <x:f>IF(L97=1,0,COUNTIFS($A$5:$A$148,A97,$B$5:$B$148,B97,$L$5:$L$148,0,$Q$5:$Q$148,"&gt;"&amp;Q97)+COUNTIFS($A$5:$A$148,A97,$B$5:$B$148,B97,$L$5:$L$148,0,$Q$5:$Q$148,Q97,$C$5:$C$148,"&lt;"&amp;C97)+1)</x:f>
        <x:v>1</x:v>
      </x:c>
      <x:c r="S97" s="1" t="n">
        <x:f>ROUND(M97*100-SUMIFS($P$5:$P$148,$A$5:$A$148,A97,$B$5:$B$148,B97,$L$5:$L$148,0),0)</x:f>
        <x:v>2</x:v>
      </x:c>
      <x:c r="T97" s="15" t="n">
        <x:f>IF(L97=1,J97,(P97+IF(R97&lt;=S97,1,0))/100)</x:f>
        <x:v>1704.65</x:v>
      </x:c>
      <x:c r="U97" s="29" t="n">
        <x:f>'项目计算'!S28</x:f>
        <x:v>0.2</x:v>
      </x:c>
      <x:c r="V97" s="15" t="n">
        <x:f>ROUND(T97*(1-U97),2)</x:f>
        <x:v>1363.72</x:v>
      </x:c>
      <x:c r="W97" s="15" t="n">
        <x:f>T97-V97</x:f>
        <x:v>340.93000000000006</x:v>
      </x:c>
    </x:row>
    <x:row r="98" ht="22" customHeight="1">
      <x:c r="A98" s="10" t="str">
        <x:v>V2</x:v>
      </x:c>
      <x:c r="B98" s="10" t="str">
        <x:v>J12</x:v>
      </x:c>
      <x:c r="C98" s="10" t="str">
        <x:v>J12-U017</x:v>
      </x:c>
      <x:c r="D98" s="10" t="str">
        <x:v>U017</x:v>
      </x:c>
      <x:c r="E98" s="24" t="n">
        <x:v>131.5</x:v>
      </x:c>
      <x:c r="F98" s="24" t="n">
        <x:v>1</x:v>
      </x:c>
      <x:c r="G98" s="10" t="n">
        <x:v>67</x:v>
      </x:c>
      <x:c r="H98" s="10" t="n">
        <x:v>1</x:v>
      </x:c>
      <x:c r="I98" s="26" t="n">
        <x:f>E98*F98*G98/100*H98</x:f>
        <x:v>88.105</x:v>
      </x:c>
      <x:c r="J98" s="16"/>
      <x:c r="K98" s="18" t="n">
        <x:f>'项目计算'!R28</x:f>
        <x:v>4365</x:v>
      </x:c>
      <x:c r="L98" s="10" t="n">
        <x:v>0</x:v>
      </x:c>
      <x:c r="M98" s="16" t="n">
        <x:f>K98-SUMIFS($J$5:$J$148,$A$5:$A$148,A98,$B$5:$B$148,B98)</x:f>
        <x:v>4365</x:v>
      </x:c>
      <x:c r="N98" s="28" t="n">
        <x:f>SUMIFS($I$5:$I$148,$A$5:$A$148,A98,$B$5:$B$148,B98,$L$5:$L$148,0)</x:f>
        <x:v>260.29449999999997</x:v>
      </x:c>
      <x:c r="O98" s="28" t="n">
        <x:f>IF(L98=1,J98*100,IF(N98=0,0,M98*100*I98/N98))</x:f>
        <x:v>147747.38805468424</x:v>
      </x:c>
      <x:c r="P98" s="28" t="n">
        <x:f>ROUNDDOWN(O98,0)</x:f>
        <x:v>147747</x:v>
      </x:c>
      <x:c r="Q98" s="28" t="n">
        <x:f>ROUND(O98-P98,10)</x:f>
        <x:v>0.3880546842</x:v>
      </x:c>
      <x:c r="R98" s="10" t="n">
        <x:f>IF(L98=1,0,COUNTIFS($A$5:$A$148,A98,$B$5:$B$148,B98,$L$5:$L$148,0,$Q$5:$Q$148,"&gt;"&amp;Q98)+COUNTIFS($A$5:$A$148,A98,$B$5:$B$148,B98,$L$5:$L$148,0,$Q$5:$Q$148,Q98,$C$5:$C$148,"&lt;"&amp;C98)+1)</x:f>
        <x:v>3</x:v>
      </x:c>
      <x:c r="S98" s="10" t="n">
        <x:f>ROUND(M98*100-SUMIFS($P$5:$P$148,$A$5:$A$148,A98,$B$5:$B$148,B98,$L$5:$L$148,0),0)</x:f>
        <x:v>2</x:v>
      </x:c>
      <x:c r="T98" s="16" t="n">
        <x:f>IF(L98=1,J98,(P98+IF(R98&lt;=S98,1,0))/100)</x:f>
        <x:v>1477.47</x:v>
      </x:c>
      <x:c r="U98" s="30" t="n">
        <x:f>'项目计算'!S28</x:f>
        <x:v>0.2</x:v>
      </x:c>
      <x:c r="V98" s="16" t="n">
        <x:f>ROUND(T98*(1-U98),2)</x:f>
        <x:v>1181.98</x:v>
      </x:c>
      <x:c r="W98" s="16" t="n">
        <x:f>T98-V98</x:f>
        <x:v>295.49</x:v>
      </x:c>
    </x:row>
    <x:row r="99" ht="22" customHeight="1">
      <x:c r="A99" s="1" t="str">
        <x:v>V2</x:v>
      </x:c>
      <x:c r="B99" s="1" t="str">
        <x:v>J12</x:v>
      </x:c>
      <x:c r="C99" s="1" t="str">
        <x:v>J12-U018</x:v>
      </x:c>
      <x:c r="D99" s="1" t="str">
        <x:v>U018</x:v>
      </x:c>
      <x:c r="E99" s="23" t="n">
        <x:v>85</x:v>
      </x:c>
      <x:c r="F99" s="23" t="n">
        <x:v>1.1</x:v>
      </x:c>
      <x:c r="G99" s="1" t="n">
        <x:v>63</x:v>
      </x:c>
      <x:c r="H99" s="1" t="n">
        <x:v>0</x:v>
      </x:c>
      <x:c r="I99" s="25" t="n">
        <x:f>E99*F99*G99/100*H99</x:f>
        <x:v>0</x:v>
      </x:c>
      <x:c r="J99" s="15"/>
      <x:c r="K99" s="17" t="n">
        <x:f>'项目计算'!R28</x:f>
        <x:v>4365</x:v>
      </x:c>
      <x:c r="L99" s="1" t="n">
        <x:v>0</x:v>
      </x:c>
      <x:c r="M99" s="15" t="n">
        <x:f>K99-SUMIFS($J$5:$J$148,$A$5:$A$148,A99,$B$5:$B$148,B99)</x:f>
        <x:v>4365</x:v>
      </x:c>
      <x:c r="N99" s="27" t="n">
        <x:f>SUMIFS($I$5:$I$148,$A$5:$A$148,A99,$B$5:$B$148,B99,$L$5:$L$148,0)</x:f>
        <x:v>260.29449999999997</x:v>
      </x:c>
      <x:c r="O99" s="27" t="n">
        <x:f>IF(L99=1,J99*100,IF(N99=0,0,M99*100*I99/N99))</x:f>
        <x:v>0</x:v>
      </x:c>
      <x:c r="P99" s="27" t="n">
        <x:f>ROUNDDOWN(O99,0)</x:f>
        <x:v>0</x:v>
      </x:c>
      <x:c r="Q99" s="27" t="n">
        <x:f>ROUND(O99-P99,10)</x:f>
        <x:v>0</x:v>
      </x:c>
      <x:c r="R99" s="1" t="n">
        <x:f>IF(L99=1,0,COUNTIFS($A$5:$A$148,A99,$B$5:$B$148,B99,$L$5:$L$148,0,$Q$5:$Q$148,"&gt;"&amp;Q99)+COUNTIFS($A$5:$A$148,A99,$B$5:$B$148,B99,$L$5:$L$148,0,$Q$5:$Q$148,Q99,$C$5:$C$148,"&lt;"&amp;C99)+1)</x:f>
        <x:v>4</x:v>
      </x:c>
      <x:c r="S99" s="1" t="n">
        <x:f>ROUND(M99*100-SUMIFS($P$5:$P$148,$A$5:$A$148,A99,$B$5:$B$148,B99,$L$5:$L$148,0),0)</x:f>
        <x:v>2</x:v>
      </x:c>
      <x:c r="T99" s="15" t="n">
        <x:f>IF(L99=1,J99,(P99+IF(R99&lt;=S99,1,0))/100)</x:f>
        <x:v>0</x:v>
      </x:c>
      <x:c r="U99" s="29" t="n">
        <x:f>'项目计算'!S28</x:f>
        <x:v>0.2</x:v>
      </x:c>
      <x:c r="V99" s="15" t="n">
        <x:f>ROUND(T99*(1-U99),2)</x:f>
        <x:v>0</x:v>
      </x:c>
      <x:c r="W99" s="15" t="n">
        <x:f>T99-V99</x:f>
        <x:v>0</x:v>
      </x:c>
    </x:row>
    <x:row r="100" ht="22" customHeight="1">
      <x:c r="A100" s="10" t="str">
        <x:v>V2</x:v>
      </x:c>
      <x:c r="B100" s="10" t="str">
        <x:v>J12</x:v>
      </x:c>
      <x:c r="C100" s="10" t="str">
        <x:v>J12-U001</x:v>
      </x:c>
      <x:c r="D100" s="10" t="str">
        <x:v>U001</x:v>
      </x:c>
      <x:c r="E100" s="24" t="n">
        <x:v>82.5</x:v>
      </x:c>
      <x:c r="F100" s="24" t="n">
        <x:v>0.9</x:v>
      </x:c>
      <x:c r="G100" s="10" t="n">
        <x:v>95</x:v>
      </x:c>
      <x:c r="H100" s="10" t="n">
        <x:v>1</x:v>
      </x:c>
      <x:c r="I100" s="26" t="n">
        <x:f>E100*F100*G100/100*H100</x:f>
        <x:v>70.5375</x:v>
      </x:c>
      <x:c r="J100" s="16"/>
      <x:c r="K100" s="18" t="n">
        <x:f>'项目计算'!R28</x:f>
        <x:v>4365</x:v>
      </x:c>
      <x:c r="L100" s="10" t="n">
        <x:v>0</x:v>
      </x:c>
      <x:c r="M100" s="16" t="n">
        <x:f>K100-SUMIFS($J$5:$J$148,$A$5:$A$148,A100,$B$5:$B$148,B100)</x:f>
        <x:v>4365</x:v>
      </x:c>
      <x:c r="N100" s="28" t="n">
        <x:f>SUMIFS($I$5:$I$148,$A$5:$A$148,A100,$B$5:$B$148,B100,$L$5:$L$148,0)</x:f>
        <x:v>260.29449999999997</x:v>
      </x:c>
      <x:c r="O100" s="28" t="n">
        <x:f>IF(L100=1,J100*100,IF(N100=0,0,M100*100*I100/N100))</x:f>
        <x:v>118287.62709162122</x:v>
      </x:c>
      <x:c r="P100" s="28" t="n">
        <x:f>ROUNDDOWN(O100,0)</x:f>
        <x:v>118287</x:v>
      </x:c>
      <x:c r="Q100" s="28" t="n">
        <x:f>ROUND(O100-P100,10)</x:f>
        <x:v>0.6270916212</x:v>
      </x:c>
      <x:c r="R100" s="10" t="n">
        <x:f>IF(L100=1,0,COUNTIFS($A$5:$A$148,A100,$B$5:$B$148,B100,$L$5:$L$148,0,$Q$5:$Q$148,"&gt;"&amp;Q100)+COUNTIFS($A$5:$A$148,A100,$B$5:$B$148,B100,$L$5:$L$148,0,$Q$5:$Q$148,Q100,$C$5:$C$148,"&lt;"&amp;C100)+1)</x:f>
        <x:v>2</x:v>
      </x:c>
      <x:c r="S100" s="10" t="n">
        <x:f>ROUND(M100*100-SUMIFS($P$5:$P$148,$A$5:$A$148,A100,$B$5:$B$148,B100,$L$5:$L$148,0),0)</x:f>
        <x:v>2</x:v>
      </x:c>
      <x:c r="T100" s="16" t="n">
        <x:f>IF(L100=1,J100,(P100+IF(R100&lt;=S100,1,0))/100)</x:f>
        <x:v>1182.88</x:v>
      </x:c>
      <x:c r="U100" s="30" t="n">
        <x:f>'项目计算'!S28</x:f>
        <x:v>0.2</x:v>
      </x:c>
      <x:c r="V100" s="16" t="n">
        <x:f>ROUND(T100*(1-U100),2)</x:f>
        <x:v>946.3</x:v>
      </x:c>
      <x:c r="W100" s="16" t="n">
        <x:f>T100-V100</x:f>
        <x:v>236.58000000000015</x:v>
      </x:c>
    </x:row>
    <x:row r="101" ht="22" customHeight="1">
      <x:c r="A101" s="1" t="str">
        <x:v>V3</x:v>
      </x:c>
      <x:c r="B101" s="1" t="str">
        <x:v>J01</x:v>
      </x:c>
      <x:c r="C101" s="1" t="str">
        <x:v>J01-U001</x:v>
      </x:c>
      <x:c r="D101" s="1" t="str">
        <x:v>U001</x:v>
      </x:c>
      <x:c r="E101" s="23" t="n">
        <x:v>118.5</x:v>
      </x:c>
      <x:c r="F101" s="23" t="n">
        <x:v>1.2</x:v>
      </x:c>
      <x:c r="G101" s="1" t="n">
        <x:v>95</x:v>
      </x:c>
      <x:c r="H101" s="1" t="n">
        <x:v>1</x:v>
      </x:c>
      <x:c r="I101" s="25" t="n">
        <x:f>E101*F101*G101/100*H101</x:f>
        <x:v>135.08999999999997</x:v>
      </x:c>
      <x:c r="J101" s="15"/>
      <x:c r="K101" s="17" t="n">
        <x:f>'项目计算'!R29</x:f>
        <x:v>15226</x:v>
      </x:c>
      <x:c r="L101" s="1" t="n">
        <x:v>0</x:v>
      </x:c>
      <x:c r="M101" s="15" t="n">
        <x:f>K101-SUMIFS($J$5:$J$148,$A$5:$A$148,A101,$B$5:$B$148,B101)</x:f>
        <x:v>9226</x:v>
      </x:c>
      <x:c r="N101" s="27" t="n">
        <x:f>SUMIFS($I$5:$I$148,$A$5:$A$148,A101,$B$5:$B$148,B101,$L$5:$L$148,0)</x:f>
        <x:v>206.557</x:v>
      </x:c>
      <x:c r="O101" s="27" t="n">
        <x:f>IF(L101=1,J101*100,IF(N101=0,0,M101*100*I101/N101))</x:f>
        <x:v>603388.0914227065</x:v>
      </x:c>
      <x:c r="P101" s="27" t="n">
        <x:f>ROUNDDOWN(O101,0)</x:f>
        <x:v>603388</x:v>
      </x:c>
      <x:c r="Q101" s="27" t="n">
        <x:f>ROUND(O101-P101,10)</x:f>
        <x:v>0.0914227065</x:v>
      </x:c>
      <x:c r="R101" s="1" t="n">
        <x:f>IF(L101=1,0,COUNTIFS($A$5:$A$148,A101,$B$5:$B$148,B101,$L$5:$L$148,0,$Q$5:$Q$148,"&gt;"&amp;Q101)+COUNTIFS($A$5:$A$148,A101,$B$5:$B$148,B101,$L$5:$L$148,0,$Q$5:$Q$148,Q101,$C$5:$C$148,"&lt;"&amp;C101)+1)</x:f>
        <x:v>2</x:v>
      </x:c>
      <x:c r="S101" s="1" t="n">
        <x:f>ROUND(M101*100-SUMIFS($P$5:$P$148,$A$5:$A$148,A101,$B$5:$B$148,B101,$L$5:$L$148,0),0)</x:f>
        <x:v>1</x:v>
      </x:c>
      <x:c r="T101" s="15" t="n">
        <x:f>IF(L101=1,J101,(P101+IF(R101&lt;=S101,1,0))/100)</x:f>
        <x:v>6033.88</x:v>
      </x:c>
      <x:c r="U101" s="29" t="n">
        <x:f>'项目计算'!S29</x:f>
        <x:v>0.2</x:v>
      </x:c>
      <x:c r="V101" s="15" t="n">
        <x:f>ROUND(T101*(1-U101),2)</x:f>
        <x:v>4827.1</x:v>
      </x:c>
      <x:c r="W101" s="15" t="n">
        <x:f>T101-V101</x:f>
        <x:v>1206.7799999999997</x:v>
      </x:c>
    </x:row>
    <x:row r="102" ht="22" customHeight="1">
      <x:c r="A102" s="10" t="str">
        <x:v>V3</x:v>
      </x:c>
      <x:c r="B102" s="10" t="str">
        <x:v>J01</x:v>
      </x:c>
      <x:c r="C102" s="10" t="str">
        <x:v>J01-U002</x:v>
      </x:c>
      <x:c r="D102" s="10" t="str">
        <x:v>U002</x:v>
      </x:c>
      <x:c r="E102" s="24" t="n">
        <x:v>111.5</x:v>
      </x:c>
      <x:c r="F102" s="24" t="n">
        <x:v>1</x:v>
      </x:c>
      <x:c r="G102" s="10" t="n">
        <x:v>89</x:v>
      </x:c>
      <x:c r="H102" s="10" t="n">
        <x:v>1</x:v>
      </x:c>
      <x:c r="I102" s="26" t="n">
        <x:f>E102*F102*G102/100*H102</x:f>
        <x:v>99.235</x:v>
      </x:c>
      <x:c r="J102" s="16" t="n">
        <x:v>6000</x:v>
      </x:c>
      <x:c r="K102" s="18" t="n">
        <x:f>'项目计算'!R29</x:f>
        <x:v>15226</x:v>
      </x:c>
      <x:c r="L102" s="10" t="n">
        <x:v>1</x:v>
      </x:c>
      <x:c r="M102" s="16" t="n">
        <x:f>K102-SUMIFS($J$5:$J$148,$A$5:$A$148,A102,$B$5:$B$148,B102)</x:f>
        <x:v>9226</x:v>
      </x:c>
      <x:c r="N102" s="28" t="n">
        <x:f>SUMIFS($I$5:$I$148,$A$5:$A$148,A102,$B$5:$B$148,B102,$L$5:$L$148,0)</x:f>
        <x:v>206.557</x:v>
      </x:c>
      <x:c r="O102" s="28" t="n">
        <x:f>IF(L102=1,J102*100,IF(N102=0,0,M102*100*I102/N102))</x:f>
        <x:v>600000</x:v>
      </x:c>
      <x:c r="P102" s="28" t="n">
        <x:f>ROUNDDOWN(O102,0)</x:f>
        <x:v>600000</x:v>
      </x:c>
      <x:c r="Q102" s="28" t="n">
        <x:f>ROUND(O102-P102,10)</x:f>
        <x:v>0</x:v>
      </x:c>
      <x:c r="R102" s="10" t="n">
        <x:f>IF(L102=1,0,COUNTIFS($A$5:$A$148,A102,$B$5:$B$148,B102,$L$5:$L$148,0,$Q$5:$Q$148,"&gt;"&amp;Q102)+COUNTIFS($A$5:$A$148,A102,$B$5:$B$148,B102,$L$5:$L$148,0,$Q$5:$Q$148,Q102,$C$5:$C$148,"&lt;"&amp;C102)+1)</x:f>
        <x:v>0</x:v>
      </x:c>
      <x:c r="S102" s="10" t="n">
        <x:f>ROUND(M102*100-SUMIFS($P$5:$P$148,$A$5:$A$148,A102,$B$5:$B$148,B102,$L$5:$L$148,0),0)</x:f>
        <x:v>1</x:v>
      </x:c>
      <x:c r="T102" s="16" t="n">
        <x:f>IF(L102=1,J102,(P102+IF(R102&lt;=S102,1,0))/100)</x:f>
        <x:v>6000</x:v>
      </x:c>
      <x:c r="U102" s="30" t="n">
        <x:f>'项目计算'!S29</x:f>
        <x:v>0.2</x:v>
      </x:c>
      <x:c r="V102" s="16" t="n">
        <x:f>ROUND(T102*(1-U102),2)</x:f>
        <x:v>4800</x:v>
      </x:c>
      <x:c r="W102" s="16" t="n">
        <x:f>T102-V102</x:f>
        <x:v>1200</x:v>
      </x:c>
    </x:row>
    <x:row r="103" ht="22" customHeight="1">
      <x:c r="A103" s="1" t="str">
        <x:v>V3</x:v>
      </x:c>
      <x:c r="B103" s="1" t="str">
        <x:v>J01</x:v>
      </x:c>
      <x:c r="C103" s="1" t="str">
        <x:v>J01-U003</x:v>
      </x:c>
      <x:c r="D103" s="1" t="str">
        <x:v>U003</x:v>
      </x:c>
      <x:c r="E103" s="23" t="n">
        <x:v>73</x:v>
      </x:c>
      <x:c r="F103" s="23" t="n">
        <x:v>1.1</x:v>
      </x:c>
      <x:c r="G103" s="1" t="n">
        <x:v>89</x:v>
      </x:c>
      <x:c r="H103" s="1" t="n">
        <x:v>1</x:v>
      </x:c>
      <x:c r="I103" s="25" t="n">
        <x:f>E103*F103*G103/100*H103</x:f>
        <x:v>71.46700000000001</x:v>
      </x:c>
      <x:c r="J103" s="15"/>
      <x:c r="K103" s="17" t="n">
        <x:f>'项目计算'!R29</x:f>
        <x:v>15226</x:v>
      </x:c>
      <x:c r="L103" s="1" t="n">
        <x:v>0</x:v>
      </x:c>
      <x:c r="M103" s="15" t="n">
        <x:f>K103-SUMIFS($J$5:$J$148,$A$5:$A$148,A103,$B$5:$B$148,B103)</x:f>
        <x:v>9226</x:v>
      </x:c>
      <x:c r="N103" s="27" t="n">
        <x:f>SUMIFS($I$5:$I$148,$A$5:$A$148,A103,$B$5:$B$148,B103,$L$5:$L$148,0)</x:f>
        <x:v>206.557</x:v>
      </x:c>
      <x:c r="O103" s="27" t="n">
        <x:f>IF(L103=1,J103*100,IF(N103=0,0,M103*100*I103/N103))</x:f>
        <x:v>319211.9085772935</x:v>
      </x:c>
      <x:c r="P103" s="27" t="n">
        <x:f>ROUNDDOWN(O103,0)</x:f>
        <x:v>319211</x:v>
      </x:c>
      <x:c r="Q103" s="27" t="n">
        <x:f>ROUND(O103-P103,10)</x:f>
        <x:v>0.9085772935</x:v>
      </x:c>
      <x:c r="R103" s="1" t="n">
        <x:f>IF(L103=1,0,COUNTIFS($A$5:$A$148,A103,$B$5:$B$148,B103,$L$5:$L$148,0,$Q$5:$Q$148,"&gt;"&amp;Q103)+COUNTIFS($A$5:$A$148,A103,$B$5:$B$148,B103,$L$5:$L$148,0,$Q$5:$Q$148,Q103,$C$5:$C$148,"&lt;"&amp;C103)+1)</x:f>
        <x:v>1</x:v>
      </x:c>
      <x:c r="S103" s="1" t="n">
        <x:f>ROUND(M103*100-SUMIFS($P$5:$P$148,$A$5:$A$148,A103,$B$5:$B$148,B103,$L$5:$L$148,0),0)</x:f>
        <x:v>1</x:v>
      </x:c>
      <x:c r="T103" s="15" t="n">
        <x:f>IF(L103=1,J103,(P103+IF(R103&lt;=S103,1,0))/100)</x:f>
        <x:v>3192.12</x:v>
      </x:c>
      <x:c r="U103" s="29" t="n">
        <x:f>'项目计算'!S29</x:f>
        <x:v>0.2</x:v>
      </x:c>
      <x:c r="V103" s="15" t="n">
        <x:f>ROUND(T103*(1-U103),2)</x:f>
        <x:v>2553.7</x:v>
      </x:c>
      <x:c r="W103" s="15" t="n">
        <x:f>T103-V103</x:f>
        <x:v>638.4200000000001</x:v>
      </x:c>
    </x:row>
    <x:row r="104" ht="22" customHeight="1">
      <x:c r="A104" s="10" t="str">
        <x:v>V3</x:v>
      </x:c>
      <x:c r="B104" s="10" t="str">
        <x:v>J01</x:v>
      </x:c>
      <x:c r="C104" s="10" t="str">
        <x:v>J01-U018</x:v>
      </x:c>
      <x:c r="D104" s="10" t="str">
        <x:v>U018</x:v>
      </x:c>
      <x:c r="E104" s="24" t="n">
        <x:v>114.5</x:v>
      </x:c>
      <x:c r="F104" s="24" t="n">
        <x:v>0.9</x:v>
      </x:c>
      <x:c r="G104" s="10" t="n">
        <x:v>76</x:v>
      </x:c>
      <x:c r="H104" s="10" t="n">
        <x:v>0</x:v>
      </x:c>
      <x:c r="I104" s="26" t="n">
        <x:f>E104*F104*G104/100*H104</x:f>
        <x:v>0</x:v>
      </x:c>
      <x:c r="J104" s="16"/>
      <x:c r="K104" s="18" t="n">
        <x:f>'项目计算'!R29</x:f>
        <x:v>15226</x:v>
      </x:c>
      <x:c r="L104" s="10" t="n">
        <x:v>0</x:v>
      </x:c>
      <x:c r="M104" s="16" t="n">
        <x:f>K104-SUMIFS($J$5:$J$148,$A$5:$A$148,A104,$B$5:$B$148,B104)</x:f>
        <x:v>9226</x:v>
      </x:c>
      <x:c r="N104" s="28" t="n">
        <x:f>SUMIFS($I$5:$I$148,$A$5:$A$148,A104,$B$5:$B$148,B104,$L$5:$L$148,0)</x:f>
        <x:v>206.557</x:v>
      </x:c>
      <x:c r="O104" s="28" t="n">
        <x:f>IF(L104=1,J104*100,IF(N104=0,0,M104*100*I104/N104))</x:f>
        <x:v>0</x:v>
      </x:c>
      <x:c r="P104" s="28" t="n">
        <x:f>ROUNDDOWN(O104,0)</x:f>
        <x:v>0</x:v>
      </x:c>
      <x:c r="Q104" s="28" t="n">
        <x:f>ROUND(O104-P104,10)</x:f>
        <x:v>0</x:v>
      </x:c>
      <x:c r="R104" s="10" t="n">
        <x:f>IF(L104=1,0,COUNTIFS($A$5:$A$148,A104,$B$5:$B$148,B104,$L$5:$L$148,0,$Q$5:$Q$148,"&gt;"&amp;Q104)+COUNTIFS($A$5:$A$148,A104,$B$5:$B$148,B104,$L$5:$L$148,0,$Q$5:$Q$148,Q104,$C$5:$C$148,"&lt;"&amp;C104)+1)</x:f>
        <x:v>3</x:v>
      </x:c>
      <x:c r="S104" s="10" t="n">
        <x:f>ROUND(M104*100-SUMIFS($P$5:$P$148,$A$5:$A$148,A104,$B$5:$B$148,B104,$L$5:$L$148,0),0)</x:f>
        <x:v>1</x:v>
      </x:c>
      <x:c r="T104" s="16" t="n">
        <x:f>IF(L104=1,J104,(P104+IF(R104&lt;=S104,1,0))/100)</x:f>
        <x:v>0</x:v>
      </x:c>
      <x:c r="U104" s="30" t="n">
        <x:f>'项目计算'!S29</x:f>
        <x:v>0.2</x:v>
      </x:c>
      <x:c r="V104" s="16" t="n">
        <x:f>ROUND(T104*(1-U104),2)</x:f>
        <x:v>0</x:v>
      </x:c>
      <x:c r="W104" s="16" t="n">
        <x:f>T104-V104</x:f>
        <x:v>0</x:v>
      </x:c>
    </x:row>
    <x:row r="105" ht="22" customHeight="1">
      <x:c r="A105" s="1" t="str">
        <x:v>V3</x:v>
      </x:c>
      <x:c r="B105" s="1" t="str">
        <x:v>J02</x:v>
      </x:c>
      <x:c r="C105" s="1" t="str">
        <x:v>J02-U004</x:v>
      </x:c>
      <x:c r="D105" s="1" t="str">
        <x:v>U004</x:v>
      </x:c>
      <x:c r="E105" s="23" t="n">
        <x:v>83.5</x:v>
      </x:c>
      <x:c r="F105" s="23" t="n">
        <x:v>1.2</x:v>
      </x:c>
      <x:c r="G105" s="1" t="n">
        <x:v>92</x:v>
      </x:c>
      <x:c r="H105" s="1" t="n">
        <x:v>1</x:v>
      </x:c>
      <x:c r="I105" s="25" t="n">
        <x:f>E105*F105*G105/100*H105</x:f>
        <x:v>92.184</x:v>
      </x:c>
      <x:c r="J105" s="15"/>
      <x:c r="K105" s="17" t="n">
        <x:f>'项目计算'!R30</x:f>
        <x:v>17670</x:v>
      </x:c>
      <x:c r="L105" s="1" t="n">
        <x:v>0</x:v>
      </x:c>
      <x:c r="M105" s="15" t="n">
        <x:f>K105-SUMIFS($J$5:$J$148,$A$5:$A$148,A105,$B$5:$B$148,B105)</x:f>
        <x:v>17670</x:v>
      </x:c>
      <x:c r="N105" s="27" t="n">
        <x:f>SUMIFS($I$5:$I$148,$A$5:$A$148,A105,$B$5:$B$148,B105,$L$5:$L$148,0)</x:f>
        <x:v>264.649</x:v>
      </x:c>
      <x:c r="O105" s="27" t="n">
        <x:f>IF(L105=1,J105*100,IF(N105=0,0,M105*100*I105/N105))</x:f>
        <x:v>615491.1902179868</x:v>
      </x:c>
      <x:c r="P105" s="27" t="n">
        <x:f>ROUNDDOWN(O105,0)</x:f>
        <x:v>615491</x:v>
      </x:c>
      <x:c r="Q105" s="27" t="n">
        <x:f>ROUND(O105-P105,10)</x:f>
        <x:v>0.1902179868</x:v>
      </x:c>
      <x:c r="R105" s="1" t="n">
        <x:f>IF(L105=1,0,COUNTIFS($A$5:$A$148,A105,$B$5:$B$148,B105,$L$5:$L$148,0,$Q$5:$Q$148,"&gt;"&amp;Q105)+COUNTIFS($A$5:$A$148,A105,$B$5:$B$148,B105,$L$5:$L$148,0,$Q$5:$Q$148,Q105,$C$5:$C$148,"&lt;"&amp;C105)+1)</x:f>
        <x:v>3</x:v>
      </x:c>
      <x:c r="S105" s="1" t="n">
        <x:f>ROUND(M105*100-SUMIFS($P$5:$P$148,$A$5:$A$148,A105,$B$5:$B$148,B105,$L$5:$L$148,0),0)</x:f>
        <x:v>1</x:v>
      </x:c>
      <x:c r="T105" s="15" t="n">
        <x:f>IF(L105=1,J105,(P105+IF(R105&lt;=S105,1,0))/100)</x:f>
        <x:v>6154.91</x:v>
      </x:c>
      <x:c r="U105" s="29" t="n">
        <x:f>'项目计算'!S30</x:f>
        <x:v>0</x:v>
      </x:c>
      <x:c r="V105" s="15" t="n">
        <x:f>ROUND(T105*(1-U105),2)</x:f>
        <x:v>6154.91</x:v>
      </x:c>
      <x:c r="W105" s="15" t="n">
        <x:f>T105-V105</x:f>
        <x:v>0</x:v>
      </x:c>
    </x:row>
    <x:row r="106" ht="22" customHeight="1">
      <x:c r="A106" s="10" t="str">
        <x:v>V3</x:v>
      </x:c>
      <x:c r="B106" s="10" t="str">
        <x:v>J02</x:v>
      </x:c>
      <x:c r="C106" s="10" t="str">
        <x:v>J02-U005</x:v>
      </x:c>
      <x:c r="D106" s="10" t="str">
        <x:v>U005</x:v>
      </x:c>
      <x:c r="E106" s="24" t="n">
        <x:v>76.5</x:v>
      </x:c>
      <x:c r="F106" s="24" t="n">
        <x:v>1</x:v>
      </x:c>
      <x:c r="G106" s="10" t="n">
        <x:v>66</x:v>
      </x:c>
      <x:c r="H106" s="10" t="n">
        <x:v>1</x:v>
      </x:c>
      <x:c r="I106" s="26" t="n">
        <x:f>E106*F106*G106/100*H106</x:f>
        <x:v>50.49</x:v>
      </x:c>
      <x:c r="J106" s="16"/>
      <x:c r="K106" s="18" t="n">
        <x:f>'项目计算'!R30</x:f>
        <x:v>17670</x:v>
      </x:c>
      <x:c r="L106" s="10" t="n">
        <x:v>0</x:v>
      </x:c>
      <x:c r="M106" s="16" t="n">
        <x:f>K106-SUMIFS($J$5:$J$148,$A$5:$A$148,A106,$B$5:$B$148,B106)</x:f>
        <x:v>17670</x:v>
      </x:c>
      <x:c r="N106" s="28" t="n">
        <x:f>SUMIFS($I$5:$I$148,$A$5:$A$148,A106,$B$5:$B$148,B106,$L$5:$L$148,0)</x:f>
        <x:v>264.649</x:v>
      </x:c>
      <x:c r="O106" s="28" t="n">
        <x:f>IF(L106=1,J106*100,IF(N106=0,0,M106*100*I106/N106))</x:f>
        <x:v>337110.02119788853</x:v>
      </x:c>
      <x:c r="P106" s="28" t="n">
        <x:f>ROUNDDOWN(O106,0)</x:f>
        <x:v>337110</x:v>
      </x:c>
      <x:c r="Q106" s="28" t="n">
        <x:f>ROUND(O106-P106,10)</x:f>
        <x:v>0.0211978885</x:v>
      </x:c>
      <x:c r="R106" s="10" t="n">
        <x:f>IF(L106=1,0,COUNTIFS($A$5:$A$148,A106,$B$5:$B$148,B106,$L$5:$L$148,0,$Q$5:$Q$148,"&gt;"&amp;Q106)+COUNTIFS($A$5:$A$148,A106,$B$5:$B$148,B106,$L$5:$L$148,0,$Q$5:$Q$148,Q106,$C$5:$C$148,"&lt;"&amp;C106)+1)</x:f>
        <x:v>4</x:v>
      </x:c>
      <x:c r="S106" s="10" t="n">
        <x:f>ROUND(M106*100-SUMIFS($P$5:$P$148,$A$5:$A$148,A106,$B$5:$B$148,B106,$L$5:$L$148,0),0)</x:f>
        <x:v>1</x:v>
      </x:c>
      <x:c r="T106" s="16" t="n">
        <x:f>IF(L106=1,J106,(P106+IF(R106&lt;=S106,1,0))/100)</x:f>
        <x:v>3371.1</x:v>
      </x:c>
      <x:c r="U106" s="30" t="n">
        <x:f>'项目计算'!S30</x:f>
        <x:v>0</x:v>
      </x:c>
      <x:c r="V106" s="16" t="n">
        <x:f>ROUND(T106*(1-U106),2)</x:f>
        <x:v>3371.1</x:v>
      </x:c>
      <x:c r="W106" s="16" t="n">
        <x:f>T106-V106</x:f>
        <x:v>0</x:v>
      </x:c>
    </x:row>
    <x:row r="107" ht="22" customHeight="1">
      <x:c r="A107" s="1" t="str">
        <x:v>V3</x:v>
      </x:c>
      <x:c r="B107" s="1" t="str">
        <x:v>J02</x:v>
      </x:c>
      <x:c r="C107" s="1" t="str">
        <x:v>J02-U006</x:v>
      </x:c>
      <x:c r="D107" s="1" t="str">
        <x:v>U006</x:v>
      </x:c>
      <x:c r="E107" s="23" t="n">
        <x:v>61</x:v>
      </x:c>
      <x:c r="F107" s="23" t="n">
        <x:v>1.1</x:v>
      </x:c>
      <x:c r="G107" s="1" t="n">
        <x:v>77</x:v>
      </x:c>
      <x:c r="H107" s="1" t="n">
        <x:v>1</x:v>
      </x:c>
      <x:c r="I107" s="25" t="n">
        <x:f>E107*F107*G107/100*H107</x:f>
        <x:v>51.66700000000001</x:v>
      </x:c>
      <x:c r="J107" s="15"/>
      <x:c r="K107" s="17" t="n">
        <x:f>'项目计算'!R30</x:f>
        <x:v>17670</x:v>
      </x:c>
      <x:c r="L107" s="1" t="n">
        <x:v>0</x:v>
      </x:c>
      <x:c r="M107" s="15" t="n">
        <x:f>K107-SUMIFS($J$5:$J$148,$A$5:$A$148,A107,$B$5:$B$148,B107)</x:f>
        <x:v>17670</x:v>
      </x:c>
      <x:c r="N107" s="27" t="n">
        <x:f>SUMIFS($I$5:$I$148,$A$5:$A$148,A107,$B$5:$B$148,B107,$L$5:$L$148,0)</x:f>
        <x:v>264.649</x:v>
      </x:c>
      <x:c r="O107" s="27" t="n">
        <x:f>IF(L107=1,J107*100,IF(N107=0,0,M107*100*I107/N107))</x:f>
        <x:v>344968.5772475997</x:v>
      </x:c>
      <x:c r="P107" s="27" t="n">
        <x:f>ROUNDDOWN(O107,0)</x:f>
        <x:v>344968</x:v>
      </x:c>
      <x:c r="Q107" s="27" t="n">
        <x:f>ROUND(O107-P107,10)</x:f>
        <x:v>0.5772475997</x:v>
      </x:c>
      <x:c r="R107" s="1" t="n">
        <x:f>IF(L107=1,0,COUNTIFS($A$5:$A$148,A107,$B$5:$B$148,B107,$L$5:$L$148,0,$Q$5:$Q$148,"&gt;"&amp;Q107)+COUNTIFS($A$5:$A$148,A107,$B$5:$B$148,B107,$L$5:$L$148,0,$Q$5:$Q$148,Q107,$C$5:$C$148,"&lt;"&amp;C107)+1)</x:f>
        <x:v>1</x:v>
      </x:c>
      <x:c r="S107" s="1" t="n">
        <x:f>ROUND(M107*100-SUMIFS($P$5:$P$148,$A$5:$A$148,A107,$B$5:$B$148,B107,$L$5:$L$148,0),0)</x:f>
        <x:v>1</x:v>
      </x:c>
      <x:c r="T107" s="15" t="n">
        <x:f>IF(L107=1,J107,(P107+IF(R107&lt;=S107,1,0))/100)</x:f>
        <x:v>3449.69</x:v>
      </x:c>
      <x:c r="U107" s="29" t="n">
        <x:f>'项目计算'!S30</x:f>
        <x:v>0</x:v>
      </x:c>
      <x:c r="V107" s="15" t="n">
        <x:f>ROUND(T107*(1-U107),2)</x:f>
        <x:v>3449.69</x:v>
      </x:c>
      <x:c r="W107" s="15" t="n">
        <x:f>T107-V107</x:f>
        <x:v>0</x:v>
      </x:c>
    </x:row>
    <x:row r="108" ht="22" customHeight="1">
      <x:c r="A108" s="10" t="str">
        <x:v>V3</x:v>
      </x:c>
      <x:c r="B108" s="10" t="str">
        <x:v>J02</x:v>
      </x:c>
      <x:c r="C108" s="10" t="str">
        <x:v>J02-U007</x:v>
      </x:c>
      <x:c r="D108" s="10" t="str">
        <x:v>U007</x:v>
      </x:c>
      <x:c r="E108" s="24" t="n">
        <x:v>108.5</x:v>
      </x:c>
      <x:c r="F108" s="24" t="n">
        <x:v>0.9</x:v>
      </x:c>
      <x:c r="G108" s="10" t="n">
        <x:v>72</x:v>
      </x:c>
      <x:c r="H108" s="10" t="n">
        <x:v>1</x:v>
      </x:c>
      <x:c r="I108" s="26" t="n">
        <x:f>E108*F108*G108/100*H108</x:f>
        <x:v>70.308</x:v>
      </x:c>
      <x:c r="J108" s="16"/>
      <x:c r="K108" s="18" t="n">
        <x:f>'项目计算'!R30</x:f>
        <x:v>17670</x:v>
      </x:c>
      <x:c r="L108" s="10" t="n">
        <x:v>0</x:v>
      </x:c>
      <x:c r="M108" s="16" t="n">
        <x:f>K108-SUMIFS($J$5:$J$148,$A$5:$A$148,A108,$B$5:$B$148,B108)</x:f>
        <x:v>17670</x:v>
      </x:c>
      <x:c r="N108" s="28" t="n">
        <x:f>SUMIFS($I$5:$I$148,$A$5:$A$148,A108,$B$5:$B$148,B108,$L$5:$L$148,0)</x:f>
        <x:v>264.649</x:v>
      </x:c>
      <x:c r="O108" s="28" t="n">
        <x:f>IF(L108=1,J108*100,IF(N108=0,0,M108*100*I108/N108))</x:f>
        <x:v>469430.21133652504</x:v>
      </x:c>
      <x:c r="P108" s="28" t="n">
        <x:f>ROUNDDOWN(O108,0)</x:f>
        <x:v>469430</x:v>
      </x:c>
      <x:c r="Q108" s="28" t="n">
        <x:f>ROUND(O108-P108,10)</x:f>
        <x:v>0.211336525</x:v>
      </x:c>
      <x:c r="R108" s="10" t="n">
        <x:f>IF(L108=1,0,COUNTIFS($A$5:$A$148,A108,$B$5:$B$148,B108,$L$5:$L$148,0,$Q$5:$Q$148,"&gt;"&amp;Q108)+COUNTIFS($A$5:$A$148,A108,$B$5:$B$148,B108,$L$5:$L$148,0,$Q$5:$Q$148,Q108,$C$5:$C$148,"&lt;"&amp;C108)+1)</x:f>
        <x:v>2</x:v>
      </x:c>
      <x:c r="S108" s="10" t="n">
        <x:f>ROUND(M108*100-SUMIFS($P$5:$P$148,$A$5:$A$148,A108,$B$5:$B$148,B108,$L$5:$L$148,0),0)</x:f>
        <x:v>1</x:v>
      </x:c>
      <x:c r="T108" s="16" t="n">
        <x:f>IF(L108=1,J108,(P108+IF(R108&lt;=S108,1,0))/100)</x:f>
        <x:v>4694.3</x:v>
      </x:c>
      <x:c r="U108" s="30" t="n">
        <x:f>'项目计算'!S30</x:f>
        <x:v>0</x:v>
      </x:c>
      <x:c r="V108" s="16" t="n">
        <x:f>ROUND(T108*(1-U108),2)</x:f>
        <x:v>4694.3</x:v>
      </x:c>
      <x:c r="W108" s="16" t="n">
        <x:f>T108-V108</x:f>
        <x:v>0</x:v>
      </x:c>
    </x:row>
    <x:row r="109" ht="22" customHeight="1">
      <x:c r="A109" s="1" t="str">
        <x:v>V3</x:v>
      </x:c>
      <x:c r="B109" s="1" t="str">
        <x:v>J03</x:v>
      </x:c>
      <x:c r="C109" s="1" t="str">
        <x:v>J03-U007</x:v>
      </x:c>
      <x:c r="D109" s="1" t="str">
        <x:v>U007</x:v>
      </x:c>
      <x:c r="E109" s="23" t="n">
        <x:v>74.5</x:v>
      </x:c>
      <x:c r="F109" s="23" t="n">
        <x:v>1.2</x:v>
      </x:c>
      <x:c r="G109" s="1" t="n">
        <x:v>71</x:v>
      </x:c>
      <x:c r="H109" s="1" t="n">
        <x:v>1</x:v>
      </x:c>
      <x:c r="I109" s="25" t="n">
        <x:f>E109*F109*G109/100*H109</x:f>
        <x:v>63.474</x:v>
      </x:c>
      <x:c r="J109" s="15"/>
      <x:c r="K109" s="17" t="n">
        <x:f>'项目计算'!R31</x:f>
        <x:v>51244</x:v>
      </x:c>
      <x:c r="L109" s="1" t="n">
        <x:v>0</x:v>
      </x:c>
      <x:c r="M109" s="15" t="n">
        <x:f>K109-SUMIFS($J$5:$J$148,$A$5:$A$148,A109,$B$5:$B$148,B109)</x:f>
        <x:v>39244</x:v>
      </x:c>
      <x:c r="N109" s="27" t="n">
        <x:f>SUMIFS($I$5:$I$148,$A$5:$A$148,A109,$B$5:$B$148,B109,$L$5:$L$148,0)</x:f>
        <x:v>145.16</x:v>
      </x:c>
      <x:c r="O109" s="27" t="n">
        <x:f>IF(L109=1,J109*100,IF(N109=0,0,M109*100*I109/N109))</x:f>
        <x:v>1716019.327638468</x:v>
      </x:c>
      <x:c r="P109" s="27" t="n">
        <x:f>ROUNDDOWN(O109,0)</x:f>
        <x:v>1716019</x:v>
      </x:c>
      <x:c r="Q109" s="27" t="n">
        <x:f>ROUND(O109-P109,10)</x:f>
        <x:v>0.327638468</x:v>
      </x:c>
      <x:c r="R109" s="1" t="n">
        <x:f>IF(L109=1,0,COUNTIFS($A$5:$A$148,A109,$B$5:$B$148,B109,$L$5:$L$148,0,$Q$5:$Q$148,"&gt;"&amp;Q109)+COUNTIFS($A$5:$A$148,A109,$B$5:$B$148,B109,$L$5:$L$148,0,$Q$5:$Q$148,Q109,$C$5:$C$148,"&lt;"&amp;C109)+1)</x:f>
        <x:v>2</x:v>
      </x:c>
      <x:c r="S109" s="1" t="n">
        <x:f>ROUND(M109*100-SUMIFS($P$5:$P$148,$A$5:$A$148,A109,$B$5:$B$148,B109,$L$5:$L$148,0),0)</x:f>
        <x:v>1</x:v>
      </x:c>
      <x:c r="T109" s="15" t="n">
        <x:f>IF(L109=1,J109,(P109+IF(R109&lt;=S109,1,0))/100)</x:f>
        <x:v>17160.19</x:v>
      </x:c>
      <x:c r="U109" s="29" t="n">
        <x:f>'项目计算'!S31</x:f>
        <x:v>0.2</x:v>
      </x:c>
      <x:c r="V109" s="15" t="n">
        <x:f>ROUND(T109*(1-U109),2)</x:f>
        <x:v>13728.15</x:v>
      </x:c>
      <x:c r="W109" s="15" t="n">
        <x:f>T109-V109</x:f>
        <x:v>3432.039999999999</x:v>
      </x:c>
    </x:row>
    <x:row r="110" ht="22" customHeight="1">
      <x:c r="A110" s="10" t="str">
        <x:v>V3</x:v>
      </x:c>
      <x:c r="B110" s="10" t="str">
        <x:v>J03</x:v>
      </x:c>
      <x:c r="C110" s="10" t="str">
        <x:v>J03-U008</x:v>
      </x:c>
      <x:c r="D110" s="10" t="str">
        <x:v>U008</x:v>
      </x:c>
      <x:c r="E110" s="24" t="n">
        <x:v>88.5</x:v>
      </x:c>
      <x:c r="F110" s="24" t="n">
        <x:v>1</x:v>
      </x:c>
      <x:c r="G110" s="10" t="n">
        <x:v>72</x:v>
      </x:c>
      <x:c r="H110" s="10" t="n">
        <x:v>1</x:v>
      </x:c>
      <x:c r="I110" s="26" t="n">
        <x:f>E110*F110*G110/100*H110</x:f>
        <x:v>63.72</x:v>
      </x:c>
      <x:c r="J110" s="16" t="n">
        <x:v>12000</x:v>
      </x:c>
      <x:c r="K110" s="18" t="n">
        <x:f>'项目计算'!R31</x:f>
        <x:v>51244</x:v>
      </x:c>
      <x:c r="L110" s="10" t="n">
        <x:v>1</x:v>
      </x:c>
      <x:c r="M110" s="16" t="n">
        <x:f>K110-SUMIFS($J$5:$J$148,$A$5:$A$148,A110,$B$5:$B$148,B110)</x:f>
        <x:v>39244</x:v>
      </x:c>
      <x:c r="N110" s="28" t="n">
        <x:f>SUMIFS($I$5:$I$148,$A$5:$A$148,A110,$B$5:$B$148,B110,$L$5:$L$148,0)</x:f>
        <x:v>145.16</x:v>
      </x:c>
      <x:c r="O110" s="28" t="n">
        <x:f>IF(L110=1,J110*100,IF(N110=0,0,M110*100*I110/N110))</x:f>
        <x:v>1200000</x:v>
      </x:c>
      <x:c r="P110" s="28" t="n">
        <x:f>ROUNDDOWN(O110,0)</x:f>
        <x:v>1200000</x:v>
      </x:c>
      <x:c r="Q110" s="28" t="n">
        <x:f>ROUND(O110-P110,10)</x:f>
        <x:v>0</x:v>
      </x:c>
      <x:c r="R110" s="10" t="n">
        <x:f>IF(L110=1,0,COUNTIFS($A$5:$A$148,A110,$B$5:$B$148,B110,$L$5:$L$148,0,$Q$5:$Q$148,"&gt;"&amp;Q110)+COUNTIFS($A$5:$A$148,A110,$B$5:$B$148,B110,$L$5:$L$148,0,$Q$5:$Q$148,Q110,$C$5:$C$148,"&lt;"&amp;C110)+1)</x:f>
        <x:v>0</x:v>
      </x:c>
      <x:c r="S110" s="10" t="n">
        <x:f>ROUND(M110*100-SUMIFS($P$5:$P$148,$A$5:$A$148,A110,$B$5:$B$148,B110,$L$5:$L$148,0),0)</x:f>
        <x:v>1</x:v>
      </x:c>
      <x:c r="T110" s="16" t="n">
        <x:f>IF(L110=1,J110,(P110+IF(R110&lt;=S110,1,0))/100)</x:f>
        <x:v>12000</x:v>
      </x:c>
      <x:c r="U110" s="30" t="n">
        <x:f>'项目计算'!S31</x:f>
        <x:v>0.2</x:v>
      </x:c>
      <x:c r="V110" s="16" t="n">
        <x:f>ROUND(T110*(1-U110),2)</x:f>
        <x:v>9600</x:v>
      </x:c>
      <x:c r="W110" s="16" t="n">
        <x:f>T110-V110</x:f>
        <x:v>2400</x:v>
      </x:c>
    </x:row>
    <x:row r="111" ht="22" customHeight="1">
      <x:c r="A111" s="1" t="str">
        <x:v>V3</x:v>
      </x:c>
      <x:c r="B111" s="1" t="str">
        <x:v>J03</x:v>
      </x:c>
      <x:c r="C111" s="1" t="str">
        <x:v>J03-U009</x:v>
      </x:c>
      <x:c r="D111" s="1" t="str">
        <x:v>U009</x:v>
      </x:c>
      <x:c r="E111" s="23" t="n">
        <x:v>79</x:v>
      </x:c>
      <x:c r="F111" s="23" t="n">
        <x:v>1.1</x:v>
      </x:c>
      <x:c r="G111" s="1" t="n">
        <x:v>94</x:v>
      </x:c>
      <x:c r="H111" s="1" t="n">
        <x:v>1</x:v>
      </x:c>
      <x:c r="I111" s="25" t="n">
        <x:f>E111*F111*G111/100*H111</x:f>
        <x:v>81.686</x:v>
      </x:c>
      <x:c r="J111" s="15"/>
      <x:c r="K111" s="17" t="n">
        <x:f>'项目计算'!R31</x:f>
        <x:v>51244</x:v>
      </x:c>
      <x:c r="L111" s="1" t="n">
        <x:v>0</x:v>
      </x:c>
      <x:c r="M111" s="15" t="n">
        <x:f>K111-SUMIFS($J$5:$J$148,$A$5:$A$148,A111,$B$5:$B$148,B111)</x:f>
        <x:v>39244</x:v>
      </x:c>
      <x:c r="N111" s="27" t="n">
        <x:f>SUMIFS($I$5:$I$148,$A$5:$A$148,A111,$B$5:$B$148,B111,$L$5:$L$148,0)</x:f>
        <x:v>145.16</x:v>
      </x:c>
      <x:c r="O111" s="27" t="n">
        <x:f>IF(L111=1,J111*100,IF(N111=0,0,M111*100*I111/N111))</x:f>
        <x:v>2208380.672361532</x:v>
      </x:c>
      <x:c r="P111" s="27" t="n">
        <x:f>ROUNDDOWN(O111,0)</x:f>
        <x:v>2208380</x:v>
      </x:c>
      <x:c r="Q111" s="27" t="n">
        <x:f>ROUND(O111-P111,10)</x:f>
        <x:v>0.6723615322</x:v>
      </x:c>
      <x:c r="R111" s="1" t="n">
        <x:f>IF(L111=1,0,COUNTIFS($A$5:$A$148,A111,$B$5:$B$148,B111,$L$5:$L$148,0,$Q$5:$Q$148,"&gt;"&amp;Q111)+COUNTIFS($A$5:$A$148,A111,$B$5:$B$148,B111,$L$5:$L$148,0,$Q$5:$Q$148,Q111,$C$5:$C$148,"&lt;"&amp;C111)+1)</x:f>
        <x:v>1</x:v>
      </x:c>
      <x:c r="S111" s="1" t="n">
        <x:f>ROUND(M111*100-SUMIFS($P$5:$P$148,$A$5:$A$148,A111,$B$5:$B$148,B111,$L$5:$L$148,0),0)</x:f>
        <x:v>1</x:v>
      </x:c>
      <x:c r="T111" s="15" t="n">
        <x:f>IF(L111=1,J111,(P111+IF(R111&lt;=S111,1,0))/100)</x:f>
        <x:v>22083.81</x:v>
      </x:c>
      <x:c r="U111" s="29" t="n">
        <x:f>'项目计算'!S31</x:f>
        <x:v>0.2</x:v>
      </x:c>
      <x:c r="V111" s="15" t="n">
        <x:f>ROUND(T111*(1-U111),2)</x:f>
        <x:v>17667.05</x:v>
      </x:c>
      <x:c r="W111" s="15" t="n">
        <x:f>T111-V111</x:f>
        <x:v>4416.760000000002</x:v>
      </x:c>
    </x:row>
    <x:row r="112" ht="22" customHeight="1">
      <x:c r="A112" s="10" t="str">
        <x:v>V3</x:v>
      </x:c>
      <x:c r="B112" s="10" t="str">
        <x:v>J03</x:v>
      </x:c>
      <x:c r="C112" s="10" t="str">
        <x:v>J03-U010</x:v>
      </x:c>
      <x:c r="D112" s="10" t="str">
        <x:v>U010</x:v>
      </x:c>
      <x:c r="E112" s="24" t="n">
        <x:v>136.5</x:v>
      </x:c>
      <x:c r="F112" s="24" t="n">
        <x:v>0.9</x:v>
      </x:c>
      <x:c r="G112" s="10" t="n">
        <x:v>90</x:v>
      </x:c>
      <x:c r="H112" s="10" t="n">
        <x:v>0</x:v>
      </x:c>
      <x:c r="I112" s="26" t="n">
        <x:f>E112*F112*G112/100*H112</x:f>
        <x:v>0</x:v>
      </x:c>
      <x:c r="J112" s="16"/>
      <x:c r="K112" s="18" t="n">
        <x:f>'项目计算'!R31</x:f>
        <x:v>51244</x:v>
      </x:c>
      <x:c r="L112" s="10" t="n">
        <x:v>0</x:v>
      </x:c>
      <x:c r="M112" s="16" t="n">
        <x:f>K112-SUMIFS($J$5:$J$148,$A$5:$A$148,A112,$B$5:$B$148,B112)</x:f>
        <x:v>39244</x:v>
      </x:c>
      <x:c r="N112" s="28" t="n">
        <x:f>SUMIFS($I$5:$I$148,$A$5:$A$148,A112,$B$5:$B$148,B112,$L$5:$L$148,0)</x:f>
        <x:v>145.16</x:v>
      </x:c>
      <x:c r="O112" s="28" t="n">
        <x:f>IF(L112=1,J112*100,IF(N112=0,0,M112*100*I112/N112))</x:f>
        <x:v>0</x:v>
      </x:c>
      <x:c r="P112" s="28" t="n">
        <x:f>ROUNDDOWN(O112,0)</x:f>
        <x:v>0</x:v>
      </x:c>
      <x:c r="Q112" s="28" t="n">
        <x:f>ROUND(O112-P112,10)</x:f>
        <x:v>0</x:v>
      </x:c>
      <x:c r="R112" s="10" t="n">
        <x:f>IF(L112=1,0,COUNTIFS($A$5:$A$148,A112,$B$5:$B$148,B112,$L$5:$L$148,0,$Q$5:$Q$148,"&gt;"&amp;Q112)+COUNTIFS($A$5:$A$148,A112,$B$5:$B$148,B112,$L$5:$L$148,0,$Q$5:$Q$148,Q112,$C$5:$C$148,"&lt;"&amp;C112)+1)</x:f>
        <x:v>3</x:v>
      </x:c>
      <x:c r="S112" s="10" t="n">
        <x:f>ROUND(M112*100-SUMIFS($P$5:$P$148,$A$5:$A$148,A112,$B$5:$B$148,B112,$L$5:$L$148,0),0)</x:f>
        <x:v>1</x:v>
      </x:c>
      <x:c r="T112" s="16" t="n">
        <x:f>IF(L112=1,J112,(P112+IF(R112&lt;=S112,1,0))/100)</x:f>
        <x:v>0</x:v>
      </x:c>
      <x:c r="U112" s="30" t="n">
        <x:f>'项目计算'!S31</x:f>
        <x:v>0.2</x:v>
      </x:c>
      <x:c r="V112" s="16" t="n">
        <x:f>ROUND(T112*(1-U112),2)</x:f>
        <x:v>0</x:v>
      </x:c>
      <x:c r="W112" s="16" t="n">
        <x:f>T112-V112</x:f>
        <x:v>0</x:v>
      </x:c>
    </x:row>
    <x:row r="113" ht="22" customHeight="1">
      <x:c r="A113" s="1" t="str">
        <x:v>V3</x:v>
      </x:c>
      <x:c r="B113" s="1" t="str">
        <x:v>J04</x:v>
      </x:c>
      <x:c r="C113" s="1" t="str">
        <x:v>J04-U010</x:v>
      </x:c>
      <x:c r="D113" s="1" t="str">
        <x:v>U010</x:v>
      </x:c>
      <x:c r="E113" s="23" t="n">
        <x:v>124.5</x:v>
      </x:c>
      <x:c r="F113" s="23" t="n">
        <x:v>1.2</x:v>
      </x:c>
      <x:c r="G113" s="1" t="n">
        <x:v>91</x:v>
      </x:c>
      <x:c r="H113" s="1" t="n">
        <x:v>1</x:v>
      </x:c>
      <x:c r="I113" s="25" t="n">
        <x:f>E113*F113*G113/100*H113</x:f>
        <x:v>135.954</x:v>
      </x:c>
      <x:c r="J113" s="15"/>
      <x:c r="K113" s="17" t="n">
        <x:f>'项目计算'!R32</x:f>
        <x:v>0</x:v>
      </x:c>
      <x:c r="L113" s="1" t="n">
        <x:v>0</x:v>
      </x:c>
      <x:c r="M113" s="15" t="n">
        <x:f>K113-SUMIFS($J$5:$J$148,$A$5:$A$148,A113,$B$5:$B$148,B113)</x:f>
        <x:v>0</x:v>
      </x:c>
      <x:c r="N113" s="27" t="n">
        <x:f>SUMIFS($I$5:$I$148,$A$5:$A$148,A113,$B$5:$B$148,B113,$L$5:$L$148,0)</x:f>
        <x:v>439.793</x:v>
      </x:c>
      <x:c r="O113" s="27" t="n">
        <x:f>IF(L113=1,J113*100,IF(N113=0,0,M113*100*I113/N113))</x:f>
        <x:v>0</x:v>
      </x:c>
      <x:c r="P113" s="27" t="n">
        <x:f>ROUNDDOWN(O113,0)</x:f>
        <x:v>0</x:v>
      </x:c>
      <x:c r="Q113" s="27" t="n">
        <x:f>ROUND(O113-P113,10)</x:f>
        <x:v>0</x:v>
      </x:c>
      <x:c r="R113" s="1" t="n">
        <x:f>IF(L113=1,0,COUNTIFS($A$5:$A$148,A113,$B$5:$B$148,B113,$L$5:$L$148,0,$Q$5:$Q$148,"&gt;"&amp;Q113)+COUNTIFS($A$5:$A$148,A113,$B$5:$B$148,B113,$L$5:$L$148,0,$Q$5:$Q$148,Q113,$C$5:$C$148,"&lt;"&amp;C113)+1)</x:f>
        <x:v>1</x:v>
      </x:c>
      <x:c r="S113" s="1" t="n">
        <x:f>ROUND(M113*100-SUMIFS($P$5:$P$148,$A$5:$A$148,A113,$B$5:$B$148,B113,$L$5:$L$148,0),0)</x:f>
        <x:v>0</x:v>
      </x:c>
      <x:c r="T113" s="15" t="n">
        <x:f>IF(L113=1,J113,(P113+IF(R113&lt;=S113,1,0))/100)</x:f>
        <x:v>0</x:v>
      </x:c>
      <x:c r="U113" s="29" t="n">
        <x:f>'项目计算'!S32</x:f>
        <x:v>0</x:v>
      </x:c>
      <x:c r="V113" s="15" t="n">
        <x:f>ROUND(T113*(1-U113),2)</x:f>
        <x:v>0</x:v>
      </x:c>
      <x:c r="W113" s="15" t="n">
        <x:f>T113-V113</x:f>
        <x:v>0</x:v>
      </x:c>
    </x:row>
    <x:row r="114" ht="22" customHeight="1">
      <x:c r="A114" s="10" t="str">
        <x:v>V3</x:v>
      </x:c>
      <x:c r="B114" s="10" t="str">
        <x:v>J04</x:v>
      </x:c>
      <x:c r="C114" s="10" t="str">
        <x:v>J04-U011</x:v>
      </x:c>
      <x:c r="D114" s="10" t="str">
        <x:v>U011</x:v>
      </x:c>
      <x:c r="E114" s="24" t="n">
        <x:v>134.5</x:v>
      </x:c>
      <x:c r="F114" s="24" t="n">
        <x:v>1</x:v>
      </x:c>
      <x:c r="G114" s="10" t="n">
        <x:v>98</x:v>
      </x:c>
      <x:c r="H114" s="10" t="n">
        <x:v>1</x:v>
      </x:c>
      <x:c r="I114" s="26" t="n">
        <x:f>E114*F114*G114/100*H114</x:f>
        <x:v>131.81</x:v>
      </x:c>
      <x:c r="J114" s="16"/>
      <x:c r="K114" s="18" t="n">
        <x:f>'项目计算'!R32</x:f>
        <x:v>0</x:v>
      </x:c>
      <x:c r="L114" s="10" t="n">
        <x:v>0</x:v>
      </x:c>
      <x:c r="M114" s="16" t="n">
        <x:f>K114-SUMIFS($J$5:$J$148,$A$5:$A$148,A114,$B$5:$B$148,B114)</x:f>
        <x:v>0</x:v>
      </x:c>
      <x:c r="N114" s="28" t="n">
        <x:f>SUMIFS($I$5:$I$148,$A$5:$A$148,A114,$B$5:$B$148,B114,$L$5:$L$148,0)</x:f>
        <x:v>439.793</x:v>
      </x:c>
      <x:c r="O114" s="28" t="n">
        <x:f>IF(L114=1,J114*100,IF(N114=0,0,M114*100*I114/N114))</x:f>
        <x:v>0</x:v>
      </x:c>
      <x:c r="P114" s="28" t="n">
        <x:f>ROUNDDOWN(O114,0)</x:f>
        <x:v>0</x:v>
      </x:c>
      <x:c r="Q114" s="28" t="n">
        <x:f>ROUND(O114-P114,10)</x:f>
        <x:v>0</x:v>
      </x:c>
      <x:c r="R114" s="10" t="n">
        <x:f>IF(L114=1,0,COUNTIFS($A$5:$A$148,A114,$B$5:$B$148,B114,$L$5:$L$148,0,$Q$5:$Q$148,"&gt;"&amp;Q114)+COUNTIFS($A$5:$A$148,A114,$B$5:$B$148,B114,$L$5:$L$148,0,$Q$5:$Q$148,Q114,$C$5:$C$148,"&lt;"&amp;C114)+1)</x:f>
        <x:v>2</x:v>
      </x:c>
      <x:c r="S114" s="10" t="n">
        <x:f>ROUND(M114*100-SUMIFS($P$5:$P$148,$A$5:$A$148,A114,$B$5:$B$148,B114,$L$5:$L$148,0),0)</x:f>
        <x:v>0</x:v>
      </x:c>
      <x:c r="T114" s="16" t="n">
        <x:f>IF(L114=1,J114,(P114+IF(R114&lt;=S114,1,0))/100)</x:f>
        <x:v>0</x:v>
      </x:c>
      <x:c r="U114" s="30" t="n">
        <x:f>'项目计算'!S32</x:f>
        <x:v>0</x:v>
      </x:c>
      <x:c r="V114" s="16" t="n">
        <x:f>ROUND(T114*(1-U114),2)</x:f>
        <x:v>0</x:v>
      </x:c>
      <x:c r="W114" s="16" t="n">
        <x:f>T114-V114</x:f>
        <x:v>0</x:v>
      </x:c>
    </x:row>
    <x:row r="115" ht="22" customHeight="1">
      <x:c r="A115" s="1" t="str">
        <x:v>V3</x:v>
      </x:c>
      <x:c r="B115" s="1" t="str">
        <x:v>J04</x:v>
      </x:c>
      <x:c r="C115" s="1" t="str">
        <x:v>J04-U012</x:v>
      </x:c>
      <x:c r="D115" s="1" t="str">
        <x:v>U012</x:v>
      </x:c>
      <x:c r="E115" s="23" t="n">
        <x:v>61</x:v>
      </x:c>
      <x:c r="F115" s="23" t="n">
        <x:v>1.1</x:v>
      </x:c>
      <x:c r="G115" s="1" t="n">
        <x:v>87</x:v>
      </x:c>
      <x:c r="H115" s="1" t="n">
        <x:v>1</x:v>
      </x:c>
      <x:c r="I115" s="25" t="n">
        <x:f>E115*F115*G115/100*H115</x:f>
        <x:v>58.37700000000001</x:v>
      </x:c>
      <x:c r="J115" s="15"/>
      <x:c r="K115" s="17" t="n">
        <x:f>'项目计算'!R32</x:f>
        <x:v>0</x:v>
      </x:c>
      <x:c r="L115" s="1" t="n">
        <x:v>0</x:v>
      </x:c>
      <x:c r="M115" s="15" t="n">
        <x:f>K115-SUMIFS($J$5:$J$148,$A$5:$A$148,A115,$B$5:$B$148,B115)</x:f>
        <x:v>0</x:v>
      </x:c>
      <x:c r="N115" s="27" t="n">
        <x:f>SUMIFS($I$5:$I$148,$A$5:$A$148,A115,$B$5:$B$148,B115,$L$5:$L$148,0)</x:f>
        <x:v>439.793</x:v>
      </x:c>
      <x:c r="O115" s="27" t="n">
        <x:f>IF(L115=1,J115*100,IF(N115=0,0,M115*100*I115/N115))</x:f>
        <x:v>0</x:v>
      </x:c>
      <x:c r="P115" s="27" t="n">
        <x:f>ROUNDDOWN(O115,0)</x:f>
        <x:v>0</x:v>
      </x:c>
      <x:c r="Q115" s="27" t="n">
        <x:f>ROUND(O115-P115,10)</x:f>
        <x:v>0</x:v>
      </x:c>
      <x:c r="R115" s="1" t="n">
        <x:f>IF(L115=1,0,COUNTIFS($A$5:$A$148,A115,$B$5:$B$148,B115,$L$5:$L$148,0,$Q$5:$Q$148,"&gt;"&amp;Q115)+COUNTIFS($A$5:$A$148,A115,$B$5:$B$148,B115,$L$5:$L$148,0,$Q$5:$Q$148,Q115,$C$5:$C$148,"&lt;"&amp;C115)+1)</x:f>
        <x:v>3</x:v>
      </x:c>
      <x:c r="S115" s="1" t="n">
        <x:f>ROUND(M115*100-SUMIFS($P$5:$P$148,$A$5:$A$148,A115,$B$5:$B$148,B115,$L$5:$L$148,0),0)</x:f>
        <x:v>0</x:v>
      </x:c>
      <x:c r="T115" s="15" t="n">
        <x:f>IF(L115=1,J115,(P115+IF(R115&lt;=S115,1,0))/100)</x:f>
        <x:v>0</x:v>
      </x:c>
      <x:c r="U115" s="29" t="n">
        <x:f>'项目计算'!S32</x:f>
        <x:v>0</x:v>
      </x:c>
      <x:c r="V115" s="15" t="n">
        <x:f>ROUND(T115*(1-U115),2)</x:f>
        <x:v>0</x:v>
      </x:c>
      <x:c r="W115" s="15" t="n">
        <x:f>T115-V115</x:f>
        <x:v>0</x:v>
      </x:c>
    </x:row>
    <x:row r="116" ht="22" customHeight="1">
      <x:c r="A116" s="10" t="str">
        <x:v>V3</x:v>
      </x:c>
      <x:c r="B116" s="10" t="str">
        <x:v>J04</x:v>
      </x:c>
      <x:c r="C116" s="10" t="str">
        <x:v>J04-U013</x:v>
      </x:c>
      <x:c r="D116" s="10" t="str">
        <x:v>U013</x:v>
      </x:c>
      <x:c r="E116" s="24" t="n">
        <x:v>143.5</x:v>
      </x:c>
      <x:c r="F116" s="24" t="n">
        <x:v>0.9</x:v>
      </x:c>
      <x:c r="G116" s="10" t="n">
        <x:v>88</x:v>
      </x:c>
      <x:c r="H116" s="10" t="n">
        <x:v>1</x:v>
      </x:c>
      <x:c r="I116" s="26" t="n">
        <x:f>E116*F116*G116/100*H116</x:f>
        <x:v>113.652</x:v>
      </x:c>
      <x:c r="J116" s="16"/>
      <x:c r="K116" s="18" t="n">
        <x:f>'项目计算'!R32</x:f>
        <x:v>0</x:v>
      </x:c>
      <x:c r="L116" s="10" t="n">
        <x:v>0</x:v>
      </x:c>
      <x:c r="M116" s="16" t="n">
        <x:f>K116-SUMIFS($J$5:$J$148,$A$5:$A$148,A116,$B$5:$B$148,B116)</x:f>
        <x:v>0</x:v>
      </x:c>
      <x:c r="N116" s="28" t="n">
        <x:f>SUMIFS($I$5:$I$148,$A$5:$A$148,A116,$B$5:$B$148,B116,$L$5:$L$148,0)</x:f>
        <x:v>439.793</x:v>
      </x:c>
      <x:c r="O116" s="28" t="n">
        <x:f>IF(L116=1,J116*100,IF(N116=0,0,M116*100*I116/N116))</x:f>
        <x:v>0</x:v>
      </x:c>
      <x:c r="P116" s="28" t="n">
        <x:f>ROUNDDOWN(O116,0)</x:f>
        <x:v>0</x:v>
      </x:c>
      <x:c r="Q116" s="28" t="n">
        <x:f>ROUND(O116-P116,10)</x:f>
        <x:v>0</x:v>
      </x:c>
      <x:c r="R116" s="10" t="n">
        <x:f>IF(L116=1,0,COUNTIFS($A$5:$A$148,A116,$B$5:$B$148,B116,$L$5:$L$148,0,$Q$5:$Q$148,"&gt;"&amp;Q116)+COUNTIFS($A$5:$A$148,A116,$B$5:$B$148,B116,$L$5:$L$148,0,$Q$5:$Q$148,Q116,$C$5:$C$148,"&lt;"&amp;C116)+1)</x:f>
        <x:v>4</x:v>
      </x:c>
      <x:c r="S116" s="10" t="n">
        <x:f>ROUND(M116*100-SUMIFS($P$5:$P$148,$A$5:$A$148,A116,$B$5:$B$148,B116,$L$5:$L$148,0),0)</x:f>
        <x:v>0</x:v>
      </x:c>
      <x:c r="T116" s="16" t="n">
        <x:f>IF(L116=1,J116,(P116+IF(R116&lt;=S116,1,0))/100)</x:f>
        <x:v>0</x:v>
      </x:c>
      <x:c r="U116" s="30" t="n">
        <x:f>'项目计算'!S32</x:f>
        <x:v>0</x:v>
      </x:c>
      <x:c r="V116" s="16" t="n">
        <x:f>ROUND(T116*(1-U116),2)</x:f>
        <x:v>0</x:v>
      </x:c>
      <x:c r="W116" s="16" t="n">
        <x:f>T116-V116</x:f>
        <x:v>0</x:v>
      </x:c>
    </x:row>
    <x:row r="117" ht="22" customHeight="1">
      <x:c r="A117" s="1" t="str">
        <x:v>V3</x:v>
      </x:c>
      <x:c r="B117" s="1" t="str">
        <x:v>J05</x:v>
      </x:c>
      <x:c r="C117" s="1" t="str">
        <x:v>J05-U013</x:v>
      </x:c>
      <x:c r="D117" s="1" t="str">
        <x:v>U013</x:v>
      </x:c>
      <x:c r="E117" s="23" t="n">
        <x:v>119.5</x:v>
      </x:c>
      <x:c r="F117" s="23" t="n">
        <x:v>1.2</x:v>
      </x:c>
      <x:c r="G117" s="1" t="n">
        <x:v>83</x:v>
      </x:c>
      <x:c r="H117" s="1" t="n">
        <x:v>1</x:v>
      </x:c>
      <x:c r="I117" s="25" t="n">
        <x:f>E117*F117*G117/100*H117</x:f>
        <x:v>119.022</x:v>
      </x:c>
      <x:c r="J117" s="15"/>
      <x:c r="K117" s="17" t="n">
        <x:f>'项目计算'!R33</x:f>
        <x:v>0</x:v>
      </x:c>
      <x:c r="L117" s="1" t="n">
        <x:v>0</x:v>
      </x:c>
      <x:c r="M117" s="15" t="n">
        <x:f>K117-SUMIFS($J$5:$J$148,$A$5:$A$148,A117,$B$5:$B$148,B117)</x:f>
        <x:v>0</x:v>
      </x:c>
      <x:c r="N117" s="27" t="n">
        <x:f>SUMIFS($I$5:$I$148,$A$5:$A$148,A117,$B$5:$B$148,B117,$L$5:$L$148,0)</x:f>
        <x:v>380.947</x:v>
      </x:c>
      <x:c r="O117" s="27" t="n">
        <x:f>IF(L117=1,J117*100,IF(N117=0,0,M117*100*I117/N117))</x:f>
        <x:v>0</x:v>
      </x:c>
      <x:c r="P117" s="27" t="n">
        <x:f>ROUNDDOWN(O117,0)</x:f>
        <x:v>0</x:v>
      </x:c>
      <x:c r="Q117" s="27" t="n">
        <x:f>ROUND(O117-P117,10)</x:f>
        <x:v>0</x:v>
      </x:c>
      <x:c r="R117" s="1" t="n">
        <x:f>IF(L117=1,0,COUNTIFS($A$5:$A$148,A117,$B$5:$B$148,B117,$L$5:$L$148,0,$Q$5:$Q$148,"&gt;"&amp;Q117)+COUNTIFS($A$5:$A$148,A117,$B$5:$B$148,B117,$L$5:$L$148,0,$Q$5:$Q$148,Q117,$C$5:$C$148,"&lt;"&amp;C117)+1)</x:f>
        <x:v>1</x:v>
      </x:c>
      <x:c r="S117" s="1" t="n">
        <x:f>ROUND(M117*100-SUMIFS($P$5:$P$148,$A$5:$A$148,A117,$B$5:$B$148,B117,$L$5:$L$148,0),0)</x:f>
        <x:v>0</x:v>
      </x:c>
      <x:c r="T117" s="15" t="n">
        <x:f>IF(L117=1,J117,(P117+IF(R117&lt;=S117,1,0))/100)</x:f>
        <x:v>0</x:v>
      </x:c>
      <x:c r="U117" s="29" t="n">
        <x:f>'项目计算'!S33</x:f>
        <x:v>0.2</x:v>
      </x:c>
      <x:c r="V117" s="15" t="n">
        <x:f>ROUND(T117*(1-U117),2)</x:f>
        <x:v>0</x:v>
      </x:c>
      <x:c r="W117" s="15" t="n">
        <x:f>T117-V117</x:f>
        <x:v>0</x:v>
      </x:c>
    </x:row>
    <x:row r="118" ht="22" customHeight="1">
      <x:c r="A118" s="10" t="str">
        <x:v>V3</x:v>
      </x:c>
      <x:c r="B118" s="10" t="str">
        <x:v>J05</x:v>
      </x:c>
      <x:c r="C118" s="10" t="str">
        <x:v>J05-U014</x:v>
      </x:c>
      <x:c r="D118" s="10" t="str">
        <x:v>U014</x:v>
      </x:c>
      <x:c r="E118" s="24" t="n">
        <x:v>110.5</x:v>
      </x:c>
      <x:c r="F118" s="24" t="n">
        <x:v>1</x:v>
      </x:c>
      <x:c r="G118" s="10" t="n">
        <x:v>80</x:v>
      </x:c>
      <x:c r="H118" s="10" t="n">
        <x:v>1</x:v>
      </x:c>
      <x:c r="I118" s="26" t="n">
        <x:f>E118*F118*G118/100*H118</x:f>
        <x:v>88.4</x:v>
      </x:c>
      <x:c r="J118" s="16"/>
      <x:c r="K118" s="18" t="n">
        <x:f>'项目计算'!R33</x:f>
        <x:v>0</x:v>
      </x:c>
      <x:c r="L118" s="10" t="n">
        <x:v>0</x:v>
      </x:c>
      <x:c r="M118" s="16" t="n">
        <x:f>K118-SUMIFS($J$5:$J$148,$A$5:$A$148,A118,$B$5:$B$148,B118)</x:f>
        <x:v>0</x:v>
      </x:c>
      <x:c r="N118" s="28" t="n">
        <x:f>SUMIFS($I$5:$I$148,$A$5:$A$148,A118,$B$5:$B$148,B118,$L$5:$L$148,0)</x:f>
        <x:v>380.947</x:v>
      </x:c>
      <x:c r="O118" s="28" t="n">
        <x:f>IF(L118=1,J118*100,IF(N118=0,0,M118*100*I118/N118))</x:f>
        <x:v>0</x:v>
      </x:c>
      <x:c r="P118" s="28" t="n">
        <x:f>ROUNDDOWN(O118,0)</x:f>
        <x:v>0</x:v>
      </x:c>
      <x:c r="Q118" s="28" t="n">
        <x:f>ROUND(O118-P118,10)</x:f>
        <x:v>0</x:v>
      </x:c>
      <x:c r="R118" s="10" t="n">
        <x:f>IF(L118=1,0,COUNTIFS($A$5:$A$148,A118,$B$5:$B$148,B118,$L$5:$L$148,0,$Q$5:$Q$148,"&gt;"&amp;Q118)+COUNTIFS($A$5:$A$148,A118,$B$5:$B$148,B118,$L$5:$L$148,0,$Q$5:$Q$148,Q118,$C$5:$C$148,"&lt;"&amp;C118)+1)</x:f>
        <x:v>2</x:v>
      </x:c>
      <x:c r="S118" s="10" t="n">
        <x:f>ROUND(M118*100-SUMIFS($P$5:$P$148,$A$5:$A$148,A118,$B$5:$B$148,B118,$L$5:$L$148,0),0)</x:f>
        <x:v>0</x:v>
      </x:c>
      <x:c r="T118" s="16" t="n">
        <x:f>IF(L118=1,J118,(P118+IF(R118&lt;=S118,1,0))/100)</x:f>
        <x:v>0</x:v>
      </x:c>
      <x:c r="U118" s="30" t="n">
        <x:f>'项目计算'!S33</x:f>
        <x:v>0.2</x:v>
      </x:c>
      <x:c r="V118" s="16" t="n">
        <x:f>ROUND(T118*(1-U118),2)</x:f>
        <x:v>0</x:v>
      </x:c>
      <x:c r="W118" s="16" t="n">
        <x:f>T118-V118</x:f>
        <x:v>0</x:v>
      </x:c>
    </x:row>
    <x:row r="119" ht="22" customHeight="1">
      <x:c r="A119" s="1" t="str">
        <x:v>V3</x:v>
      </x:c>
      <x:c r="B119" s="1" t="str">
        <x:v>J05</x:v>
      </x:c>
      <x:c r="C119" s="1" t="str">
        <x:v>J05-U015</x:v>
      </x:c>
      <x:c r="D119" s="1" t="str">
        <x:v>U015</x:v>
      </x:c>
      <x:c r="E119" s="23" t="n">
        <x:v>91</x:v>
      </x:c>
      <x:c r="F119" s="23" t="n">
        <x:v>1.1</x:v>
      </x:c>
      <x:c r="G119" s="1" t="n">
        <x:v>97</x:v>
      </x:c>
      <x:c r="H119" s="1" t="n">
        <x:v>1</x:v>
      </x:c>
      <x:c r="I119" s="25" t="n">
        <x:f>E119*F119*G119/100*H119</x:f>
        <x:v>97.09700000000001</x:v>
      </x:c>
      <x:c r="J119" s="15"/>
      <x:c r="K119" s="17" t="n">
        <x:f>'项目计算'!R33</x:f>
        <x:v>0</x:v>
      </x:c>
      <x:c r="L119" s="1" t="n">
        <x:v>0</x:v>
      </x:c>
      <x:c r="M119" s="15" t="n">
        <x:f>K119-SUMIFS($J$5:$J$148,$A$5:$A$148,A119,$B$5:$B$148,B119)</x:f>
        <x:v>0</x:v>
      </x:c>
      <x:c r="N119" s="27" t="n">
        <x:f>SUMIFS($I$5:$I$148,$A$5:$A$148,A119,$B$5:$B$148,B119,$L$5:$L$148,0)</x:f>
        <x:v>380.947</x:v>
      </x:c>
      <x:c r="O119" s="27" t="n">
        <x:f>IF(L119=1,J119*100,IF(N119=0,0,M119*100*I119/N119))</x:f>
        <x:v>0</x:v>
      </x:c>
      <x:c r="P119" s="27" t="n">
        <x:f>ROUNDDOWN(O119,0)</x:f>
        <x:v>0</x:v>
      </x:c>
      <x:c r="Q119" s="27" t="n">
        <x:f>ROUND(O119-P119,10)</x:f>
        <x:v>0</x:v>
      </x:c>
      <x:c r="R119" s="1" t="n">
        <x:f>IF(L119=1,0,COUNTIFS($A$5:$A$148,A119,$B$5:$B$148,B119,$L$5:$L$148,0,$Q$5:$Q$148,"&gt;"&amp;Q119)+COUNTIFS($A$5:$A$148,A119,$B$5:$B$148,B119,$L$5:$L$148,0,$Q$5:$Q$148,Q119,$C$5:$C$148,"&lt;"&amp;C119)+1)</x:f>
        <x:v>3</x:v>
      </x:c>
      <x:c r="S119" s="1" t="n">
        <x:f>ROUND(M119*100-SUMIFS($P$5:$P$148,$A$5:$A$148,A119,$B$5:$B$148,B119,$L$5:$L$148,0),0)</x:f>
        <x:v>0</x:v>
      </x:c>
      <x:c r="T119" s="15" t="n">
        <x:f>IF(L119=1,J119,(P119+IF(R119&lt;=S119,1,0))/100)</x:f>
        <x:v>0</x:v>
      </x:c>
      <x:c r="U119" s="29" t="n">
        <x:f>'项目计算'!S33</x:f>
        <x:v>0.2</x:v>
      </x:c>
      <x:c r="V119" s="15" t="n">
        <x:f>ROUND(T119*(1-U119),2)</x:f>
        <x:v>0</x:v>
      </x:c>
      <x:c r="W119" s="15" t="n">
        <x:f>T119-V119</x:f>
        <x:v>0</x:v>
      </x:c>
    </x:row>
    <x:row r="120" ht="22" customHeight="1">
      <x:c r="A120" s="10" t="str">
        <x:v>V3</x:v>
      </x:c>
      <x:c r="B120" s="10" t="str">
        <x:v>J05</x:v>
      </x:c>
      <x:c r="C120" s="10" t="str">
        <x:v>J05-U016</x:v>
      </x:c>
      <x:c r="D120" s="10" t="str">
        <x:v>U016</x:v>
      </x:c>
      <x:c r="E120" s="24" t="n">
        <x:v>96.5</x:v>
      </x:c>
      <x:c r="F120" s="24" t="n">
        <x:v>0.9</x:v>
      </x:c>
      <x:c r="G120" s="10" t="n">
        <x:v>88</x:v>
      </x:c>
      <x:c r="H120" s="10" t="n">
        <x:v>1</x:v>
      </x:c>
      <x:c r="I120" s="26" t="n">
        <x:f>E120*F120*G120/100*H120</x:f>
        <x:v>76.42800000000001</x:v>
      </x:c>
      <x:c r="J120" s="16"/>
      <x:c r="K120" s="18" t="n">
        <x:f>'项目计算'!R33</x:f>
        <x:v>0</x:v>
      </x:c>
      <x:c r="L120" s="10" t="n">
        <x:v>0</x:v>
      </x:c>
      <x:c r="M120" s="16" t="n">
        <x:f>K120-SUMIFS($J$5:$J$148,$A$5:$A$148,A120,$B$5:$B$148,B120)</x:f>
        <x:v>0</x:v>
      </x:c>
      <x:c r="N120" s="28" t="n">
        <x:f>SUMIFS($I$5:$I$148,$A$5:$A$148,A120,$B$5:$B$148,B120,$L$5:$L$148,0)</x:f>
        <x:v>380.947</x:v>
      </x:c>
      <x:c r="O120" s="28" t="n">
        <x:f>IF(L120=1,J120*100,IF(N120=0,0,M120*100*I120/N120))</x:f>
        <x:v>0</x:v>
      </x:c>
      <x:c r="P120" s="28" t="n">
        <x:f>ROUNDDOWN(O120,0)</x:f>
        <x:v>0</x:v>
      </x:c>
      <x:c r="Q120" s="28" t="n">
        <x:f>ROUND(O120-P120,10)</x:f>
        <x:v>0</x:v>
      </x:c>
      <x:c r="R120" s="10" t="n">
        <x:f>IF(L120=1,0,COUNTIFS($A$5:$A$148,A120,$B$5:$B$148,B120,$L$5:$L$148,0,$Q$5:$Q$148,"&gt;"&amp;Q120)+COUNTIFS($A$5:$A$148,A120,$B$5:$B$148,B120,$L$5:$L$148,0,$Q$5:$Q$148,Q120,$C$5:$C$148,"&lt;"&amp;C120)+1)</x:f>
        <x:v>4</x:v>
      </x:c>
      <x:c r="S120" s="10" t="n">
        <x:f>ROUND(M120*100-SUMIFS($P$5:$P$148,$A$5:$A$148,A120,$B$5:$B$148,B120,$L$5:$L$148,0),0)</x:f>
        <x:v>0</x:v>
      </x:c>
      <x:c r="T120" s="16" t="n">
        <x:f>IF(L120=1,J120,(P120+IF(R120&lt;=S120,1,0))/100)</x:f>
        <x:v>0</x:v>
      </x:c>
      <x:c r="U120" s="30" t="n">
        <x:f>'项目计算'!S33</x:f>
        <x:v>0.2</x:v>
      </x:c>
      <x:c r="V120" s="16" t="n">
        <x:f>ROUND(T120*(1-U120),2)</x:f>
        <x:v>0</x:v>
      </x:c>
      <x:c r="W120" s="16" t="n">
        <x:f>T120-V120</x:f>
        <x:v>0</x:v>
      </x:c>
    </x:row>
    <x:row r="121" ht="22" customHeight="1">
      <x:c r="A121" s="1" t="str">
        <x:v>V3</x:v>
      </x:c>
      <x:c r="B121" s="1" t="str">
        <x:v>J06</x:v>
      </x:c>
      <x:c r="C121" s="1" t="str">
        <x:v>J06-U016</x:v>
      </x:c>
      <x:c r="D121" s="1" t="str">
        <x:v>U016</x:v>
      </x:c>
      <x:c r="E121" s="23" t="n">
        <x:v>119.5</x:v>
      </x:c>
      <x:c r="F121" s="23" t="n">
        <x:v>1.2</x:v>
      </x:c>
      <x:c r="G121" s="1" t="n">
        <x:v>87</x:v>
      </x:c>
      <x:c r="H121" s="1" t="n">
        <x:v>1</x:v>
      </x:c>
      <x:c r="I121" s="25" t="n">
        <x:f>E121*F121*G121/100*H121</x:f>
        <x:v>124.75800000000001</x:v>
      </x:c>
      <x:c r="J121" s="15"/>
      <x:c r="K121" s="17" t="n">
        <x:f>'项目计算'!R34</x:f>
        <x:v>0</x:v>
      </x:c>
      <x:c r="L121" s="1" t="n">
        <x:v>0</x:v>
      </x:c>
      <x:c r="M121" s="15" t="n">
        <x:f>K121-SUMIFS($J$5:$J$148,$A$5:$A$148,A121,$B$5:$B$148,B121)</x:f>
        <x:v>0</x:v>
      </x:c>
      <x:c r="N121" s="27" t="n">
        <x:f>SUMIFS($I$5:$I$148,$A$5:$A$148,A121,$B$5:$B$148,B121,$L$5:$L$148,0)</x:f>
        <x:v>283.45050000000003</x:v>
      </x:c>
      <x:c r="O121" s="27" t="n">
        <x:f>IF(L121=1,J121*100,IF(N121=0,0,M121*100*I121/N121))</x:f>
        <x:v>0</x:v>
      </x:c>
      <x:c r="P121" s="27" t="n">
        <x:f>ROUNDDOWN(O121,0)</x:f>
        <x:v>0</x:v>
      </x:c>
      <x:c r="Q121" s="27" t="n">
        <x:f>ROUND(O121-P121,10)</x:f>
        <x:v>0</x:v>
      </x:c>
      <x:c r="R121" s="1" t="n">
        <x:f>IF(L121=1,0,COUNTIFS($A$5:$A$148,A121,$B$5:$B$148,B121,$L$5:$L$148,0,$Q$5:$Q$148,"&gt;"&amp;Q121)+COUNTIFS($A$5:$A$148,A121,$B$5:$B$148,B121,$L$5:$L$148,0,$Q$5:$Q$148,Q121,$C$5:$C$148,"&lt;"&amp;C121)+1)</x:f>
        <x:v>2</x:v>
      </x:c>
      <x:c r="S121" s="1" t="n">
        <x:f>ROUND(M121*100-SUMIFS($P$5:$P$148,$A$5:$A$148,A121,$B$5:$B$148,B121,$L$5:$L$148,0),0)</x:f>
        <x:v>0</x:v>
      </x:c>
      <x:c r="T121" s="15" t="n">
        <x:f>IF(L121=1,J121,(P121+IF(R121&lt;=S121,1,0))/100)</x:f>
        <x:v>0</x:v>
      </x:c>
      <x:c r="U121" s="29" t="n">
        <x:f>'项目计算'!S34</x:f>
        <x:v>0.2</x:v>
      </x:c>
      <x:c r="V121" s="15" t="n">
        <x:f>ROUND(T121*(1-U121),2)</x:f>
        <x:v>0</x:v>
      </x:c>
      <x:c r="W121" s="15" t="n">
        <x:f>T121-V121</x:f>
        <x:v>0</x:v>
      </x:c>
    </x:row>
    <x:row r="122" ht="22" customHeight="1">
      <x:c r="A122" s="10" t="str">
        <x:v>V3</x:v>
      </x:c>
      <x:c r="B122" s="10" t="str">
        <x:v>J06</x:v>
      </x:c>
      <x:c r="C122" s="10" t="str">
        <x:v>J06-U017</x:v>
      </x:c>
      <x:c r="D122" s="10" t="str">
        <x:v>U017</x:v>
      </x:c>
      <x:c r="E122" s="24" t="n">
        <x:v>83.5</x:v>
      </x:c>
      <x:c r="F122" s="24" t="n">
        <x:v>1</x:v>
      </x:c>
      <x:c r="G122" s="10" t="n">
        <x:v>81</x:v>
      </x:c>
      <x:c r="H122" s="10" t="n">
        <x:v>1</x:v>
      </x:c>
      <x:c r="I122" s="26" t="n">
        <x:f>E122*F122*G122/100*H122</x:f>
        <x:v>67.635</x:v>
      </x:c>
      <x:c r="J122" s="16"/>
      <x:c r="K122" s="18" t="n">
        <x:f>'项目计算'!R34</x:f>
        <x:v>0</x:v>
      </x:c>
      <x:c r="L122" s="10" t="n">
        <x:v>0</x:v>
      </x:c>
      <x:c r="M122" s="16" t="n">
        <x:f>K122-SUMIFS($J$5:$J$148,$A$5:$A$148,A122,$B$5:$B$148,B122)</x:f>
        <x:v>0</x:v>
      </x:c>
      <x:c r="N122" s="28" t="n">
        <x:f>SUMIFS($I$5:$I$148,$A$5:$A$148,A122,$B$5:$B$148,B122,$L$5:$L$148,0)</x:f>
        <x:v>283.45050000000003</x:v>
      </x:c>
      <x:c r="O122" s="28" t="n">
        <x:f>IF(L122=1,J122*100,IF(N122=0,0,M122*100*I122/N122))</x:f>
        <x:v>0</x:v>
      </x:c>
      <x:c r="P122" s="28" t="n">
        <x:f>ROUNDDOWN(O122,0)</x:f>
        <x:v>0</x:v>
      </x:c>
      <x:c r="Q122" s="28" t="n">
        <x:f>ROUND(O122-P122,10)</x:f>
        <x:v>0</x:v>
      </x:c>
      <x:c r="R122" s="10" t="n">
        <x:f>IF(L122=1,0,COUNTIFS($A$5:$A$148,A122,$B$5:$B$148,B122,$L$5:$L$148,0,$Q$5:$Q$148,"&gt;"&amp;Q122)+COUNTIFS($A$5:$A$148,A122,$B$5:$B$148,B122,$L$5:$L$148,0,$Q$5:$Q$148,Q122,$C$5:$C$148,"&lt;"&amp;C122)+1)</x:f>
        <x:v>3</x:v>
      </x:c>
      <x:c r="S122" s="10" t="n">
        <x:f>ROUND(M122*100-SUMIFS($P$5:$P$148,$A$5:$A$148,A122,$B$5:$B$148,B122,$L$5:$L$148,0),0)</x:f>
        <x:v>0</x:v>
      </x:c>
      <x:c r="T122" s="16" t="n">
        <x:f>IF(L122=1,J122,(P122+IF(R122&lt;=S122,1,0))/100)</x:f>
        <x:v>0</x:v>
      </x:c>
      <x:c r="U122" s="30" t="n">
        <x:f>'项目计算'!S34</x:f>
        <x:v>0.2</x:v>
      </x:c>
      <x:c r="V122" s="16" t="n">
        <x:f>ROUND(T122*(1-U122),2)</x:f>
        <x:v>0</x:v>
      </x:c>
      <x:c r="W122" s="16" t="n">
        <x:f>T122-V122</x:f>
        <x:v>0</x:v>
      </x:c>
    </x:row>
    <x:row r="123" ht="22" customHeight="1">
      <x:c r="A123" s="1" t="str">
        <x:v>V3</x:v>
      </x:c>
      <x:c r="B123" s="1" t="str">
        <x:v>J06</x:v>
      </x:c>
      <x:c r="C123" s="1" t="str">
        <x:v>J06-U018</x:v>
      </x:c>
      <x:c r="D123" s="1" t="str">
        <x:v>U018</x:v>
      </x:c>
      <x:c r="E123" s="23" t="n">
        <x:v>86</x:v>
      </x:c>
      <x:c r="F123" s="23" t="n">
        <x:v>1.1</x:v>
      </x:c>
      <x:c r="G123" s="1" t="n">
        <x:v>90</x:v>
      </x:c>
      <x:c r="H123" s="1" t="n">
        <x:v>0</x:v>
      </x:c>
      <x:c r="I123" s="25" t="n">
        <x:f>E123*F123*G123/100*H123</x:f>
        <x:v>0</x:v>
      </x:c>
      <x:c r="J123" s="15"/>
      <x:c r="K123" s="17" t="n">
        <x:f>'项目计算'!R34</x:f>
        <x:v>0</x:v>
      </x:c>
      <x:c r="L123" s="1" t="n">
        <x:v>0</x:v>
      </x:c>
      <x:c r="M123" s="15" t="n">
        <x:f>K123-SUMIFS($J$5:$J$148,$A$5:$A$148,A123,$B$5:$B$148,B123)</x:f>
        <x:v>0</x:v>
      </x:c>
      <x:c r="N123" s="27" t="n">
        <x:f>SUMIFS($I$5:$I$148,$A$5:$A$148,A123,$B$5:$B$148,B123,$L$5:$L$148,0)</x:f>
        <x:v>283.45050000000003</x:v>
      </x:c>
      <x:c r="O123" s="27" t="n">
        <x:f>IF(L123=1,J123*100,IF(N123=0,0,M123*100*I123/N123))</x:f>
        <x:v>0</x:v>
      </x:c>
      <x:c r="P123" s="27" t="n">
        <x:f>ROUNDDOWN(O123,0)</x:f>
        <x:v>0</x:v>
      </x:c>
      <x:c r="Q123" s="27" t="n">
        <x:f>ROUND(O123-P123,10)</x:f>
        <x:v>0</x:v>
      </x:c>
      <x:c r="R123" s="1" t="n">
        <x:f>IF(L123=1,0,COUNTIFS($A$5:$A$148,A123,$B$5:$B$148,B123,$L$5:$L$148,0,$Q$5:$Q$148,"&gt;"&amp;Q123)+COUNTIFS($A$5:$A$148,A123,$B$5:$B$148,B123,$L$5:$L$148,0,$Q$5:$Q$148,Q123,$C$5:$C$148,"&lt;"&amp;C123)+1)</x:f>
        <x:v>4</x:v>
      </x:c>
      <x:c r="S123" s="1" t="n">
        <x:f>ROUND(M123*100-SUMIFS($P$5:$P$148,$A$5:$A$148,A123,$B$5:$B$148,B123,$L$5:$L$148,0),0)</x:f>
        <x:v>0</x:v>
      </x:c>
      <x:c r="T123" s="15" t="n">
        <x:f>IF(L123=1,J123,(P123+IF(R123&lt;=S123,1,0))/100)</x:f>
        <x:v>0</x:v>
      </x:c>
      <x:c r="U123" s="29" t="n">
        <x:f>'项目计算'!S34</x:f>
        <x:v>0.2</x:v>
      </x:c>
      <x:c r="V123" s="15" t="n">
        <x:f>ROUND(T123*(1-U123),2)</x:f>
        <x:v>0</x:v>
      </x:c>
      <x:c r="W123" s="15" t="n">
        <x:f>T123-V123</x:f>
        <x:v>0</x:v>
      </x:c>
    </x:row>
    <x:row r="124" ht="22" customHeight="1">
      <x:c r="A124" s="10" t="str">
        <x:v>V3</x:v>
      </x:c>
      <x:c r="B124" s="10" t="str">
        <x:v>J06</x:v>
      </x:c>
      <x:c r="C124" s="10" t="str">
        <x:v>J06-U001</x:v>
      </x:c>
      <x:c r="D124" s="10" t="str">
        <x:v>U001</x:v>
      </x:c>
      <x:c r="E124" s="24" t="n">
        <x:v>106.5</x:v>
      </x:c>
      <x:c r="F124" s="24" t="n">
        <x:v>0.9</x:v>
      </x:c>
      <x:c r="G124" s="10" t="n">
        <x:v>95</x:v>
      </x:c>
      <x:c r="H124" s="10" t="n">
        <x:v>1</x:v>
      </x:c>
      <x:c r="I124" s="26" t="n">
        <x:f>E124*F124*G124/100*H124</x:f>
        <x:v>91.0575</x:v>
      </x:c>
      <x:c r="J124" s="16"/>
      <x:c r="K124" s="18" t="n">
        <x:f>'项目计算'!R34</x:f>
        <x:v>0</x:v>
      </x:c>
      <x:c r="L124" s="10" t="n">
        <x:v>0</x:v>
      </x:c>
      <x:c r="M124" s="16" t="n">
        <x:f>K124-SUMIFS($J$5:$J$148,$A$5:$A$148,A124,$B$5:$B$148,B124)</x:f>
        <x:v>0</x:v>
      </x:c>
      <x:c r="N124" s="28" t="n">
        <x:f>SUMIFS($I$5:$I$148,$A$5:$A$148,A124,$B$5:$B$148,B124,$L$5:$L$148,0)</x:f>
        <x:v>283.45050000000003</x:v>
      </x:c>
      <x:c r="O124" s="28" t="n">
        <x:f>IF(L124=1,J124*100,IF(N124=0,0,M124*100*I124/N124))</x:f>
        <x:v>0</x:v>
      </x:c>
      <x:c r="P124" s="28" t="n">
        <x:f>ROUNDDOWN(O124,0)</x:f>
        <x:v>0</x:v>
      </x:c>
      <x:c r="Q124" s="28" t="n">
        <x:f>ROUND(O124-P124,10)</x:f>
        <x:v>0</x:v>
      </x:c>
      <x:c r="R124" s="10" t="n">
        <x:f>IF(L124=1,0,COUNTIFS($A$5:$A$148,A124,$B$5:$B$148,B124,$L$5:$L$148,0,$Q$5:$Q$148,"&gt;"&amp;Q124)+COUNTIFS($A$5:$A$148,A124,$B$5:$B$148,B124,$L$5:$L$148,0,$Q$5:$Q$148,Q124,$C$5:$C$148,"&lt;"&amp;C124)+1)</x:f>
        <x:v>1</x:v>
      </x:c>
      <x:c r="S124" s="10" t="n">
        <x:f>ROUND(M124*100-SUMIFS($P$5:$P$148,$A$5:$A$148,A124,$B$5:$B$148,B124,$L$5:$L$148,0),0)</x:f>
        <x:v>0</x:v>
      </x:c>
      <x:c r="T124" s="16" t="n">
        <x:f>IF(L124=1,J124,(P124+IF(R124&lt;=S124,1,0))/100)</x:f>
        <x:v>0</x:v>
      </x:c>
      <x:c r="U124" s="30" t="n">
        <x:f>'项目计算'!S34</x:f>
        <x:v>0.2</x:v>
      </x:c>
      <x:c r="V124" s="16" t="n">
        <x:f>ROUND(T124*(1-U124),2)</x:f>
        <x:v>0</x:v>
      </x:c>
      <x:c r="W124" s="16" t="n">
        <x:f>T124-V124</x:f>
        <x:v>0</x:v>
      </x:c>
    </x:row>
    <x:row r="125" ht="22" customHeight="1">
      <x:c r="A125" s="1" t="str">
        <x:v>V3</x:v>
      </x:c>
      <x:c r="B125" s="1" t="str">
        <x:v>J07</x:v>
      </x:c>
      <x:c r="C125" s="1" t="str">
        <x:v>J07-U001</x:v>
      </x:c>
      <x:c r="D125" s="1" t="str">
        <x:v>U001</x:v>
      </x:c>
      <x:c r="E125" s="23" t="n">
        <x:v>98.5</x:v>
      </x:c>
      <x:c r="F125" s="23" t="n">
        <x:v>1.2</x:v>
      </x:c>
      <x:c r="G125" s="1" t="n">
        <x:v>80</x:v>
      </x:c>
      <x:c r="H125" s="1" t="n">
        <x:v>1</x:v>
      </x:c>
      <x:c r="I125" s="25" t="n">
        <x:f>E125*F125*G125/100*H125</x:f>
        <x:v>94.56</x:v>
      </x:c>
      <x:c r="J125" s="15"/>
      <x:c r="K125" s="17" t="n">
        <x:f>'项目计算'!R35</x:f>
        <x:v>0</x:v>
      </x:c>
      <x:c r="L125" s="1" t="n">
        <x:v>0</x:v>
      </x:c>
      <x:c r="M125" s="15" t="n">
        <x:f>K125-SUMIFS($J$5:$J$148,$A$5:$A$148,A125,$B$5:$B$148,B125)</x:f>
        <x:v>0</x:v>
      </x:c>
      <x:c r="N125" s="27" t="n">
        <x:f>SUMIFS($I$5:$I$148,$A$5:$A$148,A125,$B$5:$B$148,B125,$L$5:$L$148,0)</x:f>
        <x:v>285.704</x:v>
      </x:c>
      <x:c r="O125" s="27" t="n">
        <x:f>IF(L125=1,J125*100,IF(N125=0,0,M125*100*I125/N125))</x:f>
        <x:v>0</x:v>
      </x:c>
      <x:c r="P125" s="27" t="n">
        <x:f>ROUNDDOWN(O125,0)</x:f>
        <x:v>0</x:v>
      </x:c>
      <x:c r="Q125" s="27" t="n">
        <x:f>ROUND(O125-P125,10)</x:f>
        <x:v>0</x:v>
      </x:c>
      <x:c r="R125" s="1" t="n">
        <x:f>IF(L125=1,0,COUNTIFS($A$5:$A$148,A125,$B$5:$B$148,B125,$L$5:$L$148,0,$Q$5:$Q$148,"&gt;"&amp;Q125)+COUNTIFS($A$5:$A$148,A125,$B$5:$B$148,B125,$L$5:$L$148,0,$Q$5:$Q$148,Q125,$C$5:$C$148,"&lt;"&amp;C125)+1)</x:f>
        <x:v>1</x:v>
      </x:c>
      <x:c r="S125" s="1" t="n">
        <x:f>ROUND(M125*100-SUMIFS($P$5:$P$148,$A$5:$A$148,A125,$B$5:$B$148,B125,$L$5:$L$148,0),0)</x:f>
        <x:v>0</x:v>
      </x:c>
      <x:c r="T125" s="15" t="n">
        <x:f>IF(L125=1,J125,(P125+IF(R125&lt;=S125,1,0))/100)</x:f>
        <x:v>0</x:v>
      </x:c>
      <x:c r="U125" s="29" t="n">
        <x:f>'项目计算'!S35</x:f>
        <x:v>0.2</x:v>
      </x:c>
      <x:c r="V125" s="15" t="n">
        <x:f>ROUND(T125*(1-U125),2)</x:f>
        <x:v>0</x:v>
      </x:c>
      <x:c r="W125" s="15" t="n">
        <x:f>T125-V125</x:f>
        <x:v>0</x:v>
      </x:c>
    </x:row>
    <x:row r="126" ht="22" customHeight="1">
      <x:c r="A126" s="10" t="str">
        <x:v>V3</x:v>
      </x:c>
      <x:c r="B126" s="10" t="str">
        <x:v>J07</x:v>
      </x:c>
      <x:c r="C126" s="10" t="str">
        <x:v>J07-U002</x:v>
      </x:c>
      <x:c r="D126" s="10" t="str">
        <x:v>U002</x:v>
      </x:c>
      <x:c r="E126" s="24" t="n">
        <x:v>135.5</x:v>
      </x:c>
      <x:c r="F126" s="24" t="n">
        <x:v>1</x:v>
      </x:c>
      <x:c r="G126" s="10" t="n">
        <x:v>64</x:v>
      </x:c>
      <x:c r="H126" s="10" t="n">
        <x:v>1</x:v>
      </x:c>
      <x:c r="I126" s="26" t="n">
        <x:f>E126*F126*G126/100*H126</x:f>
        <x:v>86.72</x:v>
      </x:c>
      <x:c r="J126" s="16"/>
      <x:c r="K126" s="18" t="n">
        <x:f>'项目计算'!R35</x:f>
        <x:v>0</x:v>
      </x:c>
      <x:c r="L126" s="10" t="n">
        <x:v>0</x:v>
      </x:c>
      <x:c r="M126" s="16" t="n">
        <x:f>K126-SUMIFS($J$5:$J$148,$A$5:$A$148,A126,$B$5:$B$148,B126)</x:f>
        <x:v>0</x:v>
      </x:c>
      <x:c r="N126" s="28" t="n">
        <x:f>SUMIFS($I$5:$I$148,$A$5:$A$148,A126,$B$5:$B$148,B126,$L$5:$L$148,0)</x:f>
        <x:v>285.704</x:v>
      </x:c>
      <x:c r="O126" s="28" t="n">
        <x:f>IF(L126=1,J126*100,IF(N126=0,0,M126*100*I126/N126))</x:f>
        <x:v>0</x:v>
      </x:c>
      <x:c r="P126" s="28" t="n">
        <x:f>ROUNDDOWN(O126,0)</x:f>
        <x:v>0</x:v>
      </x:c>
      <x:c r="Q126" s="28" t="n">
        <x:f>ROUND(O126-P126,10)</x:f>
        <x:v>0</x:v>
      </x:c>
      <x:c r="R126" s="10" t="n">
        <x:f>IF(L126=1,0,COUNTIFS($A$5:$A$148,A126,$B$5:$B$148,B126,$L$5:$L$148,0,$Q$5:$Q$148,"&gt;"&amp;Q126)+COUNTIFS($A$5:$A$148,A126,$B$5:$B$148,B126,$L$5:$L$148,0,$Q$5:$Q$148,Q126,$C$5:$C$148,"&lt;"&amp;C126)+1)</x:f>
        <x:v>2</x:v>
      </x:c>
      <x:c r="S126" s="10" t="n">
        <x:f>ROUND(M126*100-SUMIFS($P$5:$P$148,$A$5:$A$148,A126,$B$5:$B$148,B126,$L$5:$L$148,0),0)</x:f>
        <x:v>0</x:v>
      </x:c>
      <x:c r="T126" s="16" t="n">
        <x:f>IF(L126=1,J126,(P126+IF(R126&lt;=S126,1,0))/100)</x:f>
        <x:v>0</x:v>
      </x:c>
      <x:c r="U126" s="30" t="n">
        <x:f>'项目计算'!S35</x:f>
        <x:v>0.2</x:v>
      </x:c>
      <x:c r="V126" s="16" t="n">
        <x:f>ROUND(T126*(1-U126),2)</x:f>
        <x:v>0</x:v>
      </x:c>
      <x:c r="W126" s="16" t="n">
        <x:f>T126-V126</x:f>
        <x:v>0</x:v>
      </x:c>
    </x:row>
    <x:row r="127" ht="22" customHeight="1">
      <x:c r="A127" s="1" t="str">
        <x:v>V3</x:v>
      </x:c>
      <x:c r="B127" s="1" t="str">
        <x:v>J07</x:v>
      </x:c>
      <x:c r="C127" s="1" t="str">
        <x:v>J07-U003</x:v>
      </x:c>
      <x:c r="D127" s="1" t="str">
        <x:v>U003</x:v>
      </x:c>
      <x:c r="E127" s="23" t="n">
        <x:v>74</x:v>
      </x:c>
      <x:c r="F127" s="23" t="n">
        <x:v>1.1</x:v>
      </x:c>
      <x:c r="G127" s="1" t="n">
        <x:v>60</x:v>
      </x:c>
      <x:c r="H127" s="1" t="n">
        <x:v>1</x:v>
      </x:c>
      <x:c r="I127" s="25" t="n">
        <x:f>E127*F127*G127/100*H127</x:f>
        <x:v>48.84</x:v>
      </x:c>
      <x:c r="J127" s="15"/>
      <x:c r="K127" s="17" t="n">
        <x:f>'项目计算'!R35</x:f>
        <x:v>0</x:v>
      </x:c>
      <x:c r="L127" s="1" t="n">
        <x:v>0</x:v>
      </x:c>
      <x:c r="M127" s="15" t="n">
        <x:f>K127-SUMIFS($J$5:$J$148,$A$5:$A$148,A127,$B$5:$B$148,B127)</x:f>
        <x:v>0</x:v>
      </x:c>
      <x:c r="N127" s="27" t="n">
        <x:f>SUMIFS($I$5:$I$148,$A$5:$A$148,A127,$B$5:$B$148,B127,$L$5:$L$148,0)</x:f>
        <x:v>285.704</x:v>
      </x:c>
      <x:c r="O127" s="27" t="n">
        <x:f>IF(L127=1,J127*100,IF(N127=0,0,M127*100*I127/N127))</x:f>
        <x:v>0</x:v>
      </x:c>
      <x:c r="P127" s="27" t="n">
        <x:f>ROUNDDOWN(O127,0)</x:f>
        <x:v>0</x:v>
      </x:c>
      <x:c r="Q127" s="27" t="n">
        <x:f>ROUND(O127-P127,10)</x:f>
        <x:v>0</x:v>
      </x:c>
      <x:c r="R127" s="1" t="n">
        <x:f>IF(L127=1,0,COUNTIFS($A$5:$A$148,A127,$B$5:$B$148,B127,$L$5:$L$148,0,$Q$5:$Q$148,"&gt;"&amp;Q127)+COUNTIFS($A$5:$A$148,A127,$B$5:$B$148,B127,$L$5:$L$148,0,$Q$5:$Q$148,Q127,$C$5:$C$148,"&lt;"&amp;C127)+1)</x:f>
        <x:v>3</x:v>
      </x:c>
      <x:c r="S127" s="1" t="n">
        <x:f>ROUND(M127*100-SUMIFS($P$5:$P$148,$A$5:$A$148,A127,$B$5:$B$148,B127,$L$5:$L$148,0),0)</x:f>
        <x:v>0</x:v>
      </x:c>
      <x:c r="T127" s="15" t="n">
        <x:f>IF(L127=1,J127,(P127+IF(R127&lt;=S127,1,0))/100)</x:f>
        <x:v>0</x:v>
      </x:c>
      <x:c r="U127" s="29" t="n">
        <x:f>'项目计算'!S35</x:f>
        <x:v>0.2</x:v>
      </x:c>
      <x:c r="V127" s="15" t="n">
        <x:f>ROUND(T127*(1-U127),2)</x:f>
        <x:v>0</x:v>
      </x:c>
      <x:c r="W127" s="15" t="n">
        <x:f>T127-V127</x:f>
        <x:v>0</x:v>
      </x:c>
    </x:row>
    <x:row r="128" ht="22" customHeight="1">
      <x:c r="A128" s="10" t="str">
        <x:v>V3</x:v>
      </x:c>
      <x:c r="B128" s="10" t="str">
        <x:v>J07</x:v>
      </x:c>
      <x:c r="C128" s="10" t="str">
        <x:v>J07-U004</x:v>
      </x:c>
      <x:c r="D128" s="10" t="str">
        <x:v>U004</x:v>
      </x:c>
      <x:c r="E128" s="24" t="n">
        <x:v>96.5</x:v>
      </x:c>
      <x:c r="F128" s="24" t="n">
        <x:v>0.9</x:v>
      </x:c>
      <x:c r="G128" s="10" t="n">
        <x:v>64</x:v>
      </x:c>
      <x:c r="H128" s="10" t="n">
        <x:v>1</x:v>
      </x:c>
      <x:c r="I128" s="26" t="n">
        <x:f>E128*F128*G128/100*H128</x:f>
        <x:v>55.584</x:v>
      </x:c>
      <x:c r="J128" s="16"/>
      <x:c r="K128" s="18" t="n">
        <x:f>'项目计算'!R35</x:f>
        <x:v>0</x:v>
      </x:c>
      <x:c r="L128" s="10" t="n">
        <x:v>0</x:v>
      </x:c>
      <x:c r="M128" s="16" t="n">
        <x:f>K128-SUMIFS($J$5:$J$148,$A$5:$A$148,A128,$B$5:$B$148,B128)</x:f>
        <x:v>0</x:v>
      </x:c>
      <x:c r="N128" s="28" t="n">
        <x:f>SUMIFS($I$5:$I$148,$A$5:$A$148,A128,$B$5:$B$148,B128,$L$5:$L$148,0)</x:f>
        <x:v>285.704</x:v>
      </x:c>
      <x:c r="O128" s="28" t="n">
        <x:f>IF(L128=1,J128*100,IF(N128=0,0,M128*100*I128/N128))</x:f>
        <x:v>0</x:v>
      </x:c>
      <x:c r="P128" s="28" t="n">
        <x:f>ROUNDDOWN(O128,0)</x:f>
        <x:v>0</x:v>
      </x:c>
      <x:c r="Q128" s="28" t="n">
        <x:f>ROUND(O128-P128,10)</x:f>
        <x:v>0</x:v>
      </x:c>
      <x:c r="R128" s="10" t="n">
        <x:f>IF(L128=1,0,COUNTIFS($A$5:$A$148,A128,$B$5:$B$148,B128,$L$5:$L$148,0,$Q$5:$Q$148,"&gt;"&amp;Q128)+COUNTIFS($A$5:$A$148,A128,$B$5:$B$148,B128,$L$5:$L$148,0,$Q$5:$Q$148,Q128,$C$5:$C$148,"&lt;"&amp;C128)+1)</x:f>
        <x:v>4</x:v>
      </x:c>
      <x:c r="S128" s="10" t="n">
        <x:f>ROUND(M128*100-SUMIFS($P$5:$P$148,$A$5:$A$148,A128,$B$5:$B$148,B128,$L$5:$L$148,0),0)</x:f>
        <x:v>0</x:v>
      </x:c>
      <x:c r="T128" s="16" t="n">
        <x:f>IF(L128=1,J128,(P128+IF(R128&lt;=S128,1,0))/100)</x:f>
        <x:v>0</x:v>
      </x:c>
      <x:c r="U128" s="30" t="n">
        <x:f>'项目计算'!S35</x:f>
        <x:v>0.2</x:v>
      </x:c>
      <x:c r="V128" s="16" t="n">
        <x:f>ROUND(T128*(1-U128),2)</x:f>
        <x:v>0</x:v>
      </x:c>
      <x:c r="W128" s="16" t="n">
        <x:f>T128-V128</x:f>
        <x:v>0</x:v>
      </x:c>
    </x:row>
    <x:row r="129" ht="22" customHeight="1">
      <x:c r="A129" s="1" t="str">
        <x:v>V3</x:v>
      </x:c>
      <x:c r="B129" s="1" t="str">
        <x:v>J08</x:v>
      </x:c>
      <x:c r="C129" s="1" t="str">
        <x:v>J08-U004</x:v>
      </x:c>
      <x:c r="D129" s="1" t="str">
        <x:v>U004</x:v>
      </x:c>
      <x:c r="E129" s="23" t="n">
        <x:v>129.5</x:v>
      </x:c>
      <x:c r="F129" s="23" t="n">
        <x:v>1.2</x:v>
      </x:c>
      <x:c r="G129" s="1" t="n">
        <x:v>89</x:v>
      </x:c>
      <x:c r="H129" s="1" t="n">
        <x:v>1</x:v>
      </x:c>
      <x:c r="I129" s="25" t="n">
        <x:f>E129*F129*G129/100*H129</x:f>
        <x:v>138.306</x:v>
      </x:c>
      <x:c r="J129" s="15"/>
      <x:c r="K129" s="17" t="n">
        <x:f>'项目计算'!R36</x:f>
        <x:v>7296</x:v>
      </x:c>
      <x:c r="L129" s="1" t="n">
        <x:v>0</x:v>
      </x:c>
      <x:c r="M129" s="15" t="n">
        <x:f>K129-SUMIFS($J$5:$J$148,$A$5:$A$148,A129,$B$5:$B$148,B129)</x:f>
        <x:v>7296</x:v>
      </x:c>
      <x:c r="N129" s="27" t="n">
        <x:f>SUMIFS($I$5:$I$148,$A$5:$A$148,A129,$B$5:$B$148,B129,$L$5:$L$148,0)</x:f>
        <x:v>247.5</x:v>
      </x:c>
      <x:c r="O129" s="27" t="n">
        <x:f>IF(L129=1,J129*100,IF(N129=0,0,M129*100*I129/N129))</x:f>
        <x:v>407709.32363636367</x:v>
      </x:c>
      <x:c r="P129" s="27" t="n">
        <x:f>ROUNDDOWN(O129,0)</x:f>
        <x:v>407709</x:v>
      </x:c>
      <x:c r="Q129" s="27" t="n">
        <x:f>ROUND(O129-P129,10)</x:f>
        <x:v>0.3236363637</x:v>
      </x:c>
      <x:c r="R129" s="1" t="n">
        <x:f>IF(L129=1,0,COUNTIFS($A$5:$A$148,A129,$B$5:$B$148,B129,$L$5:$L$148,0,$Q$5:$Q$148,"&gt;"&amp;Q129)+COUNTIFS($A$5:$A$148,A129,$B$5:$B$148,B129,$L$5:$L$148,0,$Q$5:$Q$148,Q129,$C$5:$C$148,"&lt;"&amp;C129)+1)</x:f>
        <x:v>3</x:v>
      </x:c>
      <x:c r="S129" s="1" t="n">
        <x:f>ROUND(M129*100-SUMIFS($P$5:$P$148,$A$5:$A$148,A129,$B$5:$B$148,B129,$L$5:$L$148,0),0)</x:f>
        <x:v>2</x:v>
      </x:c>
      <x:c r="T129" s="15" t="n">
        <x:f>IF(L129=1,J129,(P129+IF(R129&lt;=S129,1,0))/100)</x:f>
        <x:v>4077.09</x:v>
      </x:c>
      <x:c r="U129" s="29" t="n">
        <x:f>'项目计算'!S36</x:f>
        <x:v>0</x:v>
      </x:c>
      <x:c r="V129" s="15" t="n">
        <x:f>ROUND(T129*(1-U129),2)</x:f>
        <x:v>4077.09</x:v>
      </x:c>
      <x:c r="W129" s="15" t="n">
        <x:f>T129-V129</x:f>
        <x:v>0</x:v>
      </x:c>
    </x:row>
    <x:row r="130" ht="22" customHeight="1">
      <x:c r="A130" s="10" t="str">
        <x:v>V3</x:v>
      </x:c>
      <x:c r="B130" s="10" t="str">
        <x:v>J08</x:v>
      </x:c>
      <x:c r="C130" s="10" t="str">
        <x:v>J08-U005</x:v>
      </x:c>
      <x:c r="D130" s="10" t="str">
        <x:v>U005</x:v>
      </x:c>
      <x:c r="E130" s="24" t="n">
        <x:v>88.5</x:v>
      </x:c>
      <x:c r="F130" s="24" t="n">
        <x:v>1</x:v>
      </x:c>
      <x:c r="G130" s="10" t="n">
        <x:v>72</x:v>
      </x:c>
      <x:c r="H130" s="10" t="n">
        <x:v>1</x:v>
      </x:c>
      <x:c r="I130" s="26" t="n">
        <x:f>E130*F130*G130/100*H130</x:f>
        <x:v>63.72</x:v>
      </x:c>
      <x:c r="J130" s="16"/>
      <x:c r="K130" s="18" t="n">
        <x:f>'项目计算'!R36</x:f>
        <x:v>7296</x:v>
      </x:c>
      <x:c r="L130" s="10" t="n">
        <x:v>0</x:v>
      </x:c>
      <x:c r="M130" s="16" t="n">
        <x:f>K130-SUMIFS($J$5:$J$148,$A$5:$A$148,A130,$B$5:$B$148,B130)</x:f>
        <x:v>7296</x:v>
      </x:c>
      <x:c r="N130" s="28" t="n">
        <x:f>SUMIFS($I$5:$I$148,$A$5:$A$148,A130,$B$5:$B$148,B130,$L$5:$L$148,0)</x:f>
        <x:v>247.5</x:v>
      </x:c>
      <x:c r="O130" s="28" t="n">
        <x:f>IF(L130=1,J130*100,IF(N130=0,0,M130*100*I130/N130))</x:f>
        <x:v>187838.83636363636</x:v>
      </x:c>
      <x:c r="P130" s="28" t="n">
        <x:f>ROUNDDOWN(O130,0)</x:f>
        <x:v>187838</x:v>
      </x:c>
      <x:c r="Q130" s="28" t="n">
        <x:f>ROUND(O130-P130,10)</x:f>
        <x:v>0.8363636364</x:v>
      </x:c>
      <x:c r="R130" s="10" t="n">
        <x:f>IF(L130=1,0,COUNTIFS($A$5:$A$148,A130,$B$5:$B$148,B130,$L$5:$L$148,0,$Q$5:$Q$148,"&gt;"&amp;Q130)+COUNTIFS($A$5:$A$148,A130,$B$5:$B$148,B130,$L$5:$L$148,0,$Q$5:$Q$148,Q130,$C$5:$C$148,"&lt;"&amp;C130)+1)</x:f>
        <x:v>2</x:v>
      </x:c>
      <x:c r="S130" s="10" t="n">
        <x:f>ROUND(M130*100-SUMIFS($P$5:$P$148,$A$5:$A$148,A130,$B$5:$B$148,B130,$L$5:$L$148,0),0)</x:f>
        <x:v>2</x:v>
      </x:c>
      <x:c r="T130" s="16" t="n">
        <x:f>IF(L130=1,J130,(P130+IF(R130&lt;=S130,1,0))/100)</x:f>
        <x:v>1878.39</x:v>
      </x:c>
      <x:c r="U130" s="30" t="n">
        <x:f>'项目计算'!S36</x:f>
        <x:v>0</x:v>
      </x:c>
      <x:c r="V130" s="16" t="n">
        <x:f>ROUND(T130*(1-U130),2)</x:f>
        <x:v>1878.39</x:v>
      </x:c>
      <x:c r="W130" s="16" t="n">
        <x:f>T130-V130</x:f>
        <x:v>0</x:v>
      </x:c>
    </x:row>
    <x:row r="131" ht="22" customHeight="1">
      <x:c r="A131" s="1" t="str">
        <x:v>V3</x:v>
      </x:c>
      <x:c r="B131" s="1" t="str">
        <x:v>J08</x:v>
      </x:c>
      <x:c r="C131" s="1" t="str">
        <x:v>J08-U006</x:v>
      </x:c>
      <x:c r="D131" s="1" t="str">
        <x:v>U006</x:v>
      </x:c>
      <x:c r="E131" s="23" t="n">
        <x:v>53</x:v>
      </x:c>
      <x:c r="F131" s="23" t="n">
        <x:v>1.1</x:v>
      </x:c>
      <x:c r="G131" s="1" t="n">
        <x:v>78</x:v>
      </x:c>
      <x:c r="H131" s="1" t="n">
        <x:v>1</x:v>
      </x:c>
      <x:c r="I131" s="25" t="n">
        <x:f>E131*F131*G131/100*H131</x:f>
        <x:v>45.474000000000004</x:v>
      </x:c>
      <x:c r="J131" s="15"/>
      <x:c r="K131" s="17" t="n">
        <x:f>'项目计算'!R36</x:f>
        <x:v>7296</x:v>
      </x:c>
      <x:c r="L131" s="1" t="n">
        <x:v>0</x:v>
      </x:c>
      <x:c r="M131" s="15" t="n">
        <x:f>K131-SUMIFS($J$5:$J$148,$A$5:$A$148,A131,$B$5:$B$148,B131)</x:f>
        <x:v>7296</x:v>
      </x:c>
      <x:c r="N131" s="27" t="n">
        <x:f>SUMIFS($I$5:$I$148,$A$5:$A$148,A131,$B$5:$B$148,B131,$L$5:$L$148,0)</x:f>
        <x:v>247.5</x:v>
      </x:c>
      <x:c r="O131" s="27" t="n">
        <x:f>IF(L131=1,J131*100,IF(N131=0,0,M131*100*I131/N131))</x:f>
        <x:v>134051.84</x:v>
      </x:c>
      <x:c r="P131" s="27" t="n">
        <x:f>ROUNDDOWN(O131,0)</x:f>
        <x:v>134051</x:v>
      </x:c>
      <x:c r="Q131" s="27" t="n">
        <x:f>ROUND(O131-P131,10)</x:f>
        <x:v>0.84</x:v>
      </x:c>
      <x:c r="R131" s="1" t="n">
        <x:f>IF(L131=1,0,COUNTIFS($A$5:$A$148,A131,$B$5:$B$148,B131,$L$5:$L$148,0,$Q$5:$Q$148,"&gt;"&amp;Q131)+COUNTIFS($A$5:$A$148,A131,$B$5:$B$148,B131,$L$5:$L$148,0,$Q$5:$Q$148,Q131,$C$5:$C$148,"&lt;"&amp;C131)+1)</x:f>
        <x:v>1</x:v>
      </x:c>
      <x:c r="S131" s="1" t="n">
        <x:f>ROUND(M131*100-SUMIFS($P$5:$P$148,$A$5:$A$148,A131,$B$5:$B$148,B131,$L$5:$L$148,0),0)</x:f>
        <x:v>2</x:v>
      </x:c>
      <x:c r="T131" s="15" t="n">
        <x:f>IF(L131=1,J131,(P131+IF(R131&lt;=S131,1,0))/100)</x:f>
        <x:v>1340.52</x:v>
      </x:c>
      <x:c r="U131" s="29" t="n">
        <x:f>'项目计算'!S36</x:f>
        <x:v>0</x:v>
      </x:c>
      <x:c r="V131" s="15" t="n">
        <x:f>ROUND(T131*(1-U131),2)</x:f>
        <x:v>1340.52</x:v>
      </x:c>
      <x:c r="W131" s="15" t="n">
        <x:f>T131-V131</x:f>
        <x:v>0</x:v>
      </x:c>
    </x:row>
    <x:row r="132" ht="22" customHeight="1">
      <x:c r="A132" s="10" t="str">
        <x:v>V3</x:v>
      </x:c>
      <x:c r="B132" s="10" t="str">
        <x:v>J08</x:v>
      </x:c>
      <x:c r="C132" s="10" t="str">
        <x:v>J08-U007</x:v>
      </x:c>
      <x:c r="D132" s="10" t="str">
        <x:v>U007</x:v>
      </x:c>
      <x:c r="E132" s="24" t="n">
        <x:v>109.5</x:v>
      </x:c>
      <x:c r="F132" s="24" t="n">
        <x:v>0.9</x:v>
      </x:c>
      <x:c r="G132" s="10" t="n">
        <x:v>0</x:v>
      </x:c>
      <x:c r="H132" s="10" t="n">
        <x:v>1</x:v>
      </x:c>
      <x:c r="I132" s="26" t="n">
        <x:f>E132*F132*G132/100*H132</x:f>
        <x:v>0</x:v>
      </x:c>
      <x:c r="J132" s="16"/>
      <x:c r="K132" s="18" t="n">
        <x:f>'项目计算'!R36</x:f>
        <x:v>7296</x:v>
      </x:c>
      <x:c r="L132" s="10" t="n">
        <x:v>0</x:v>
      </x:c>
      <x:c r="M132" s="16" t="n">
        <x:f>K132-SUMIFS($J$5:$J$148,$A$5:$A$148,A132,$B$5:$B$148,B132)</x:f>
        <x:v>7296</x:v>
      </x:c>
      <x:c r="N132" s="28" t="n">
        <x:f>SUMIFS($I$5:$I$148,$A$5:$A$148,A132,$B$5:$B$148,B132,$L$5:$L$148,0)</x:f>
        <x:v>247.5</x:v>
      </x:c>
      <x:c r="O132" s="28" t="n">
        <x:f>IF(L132=1,J132*100,IF(N132=0,0,M132*100*I132/N132))</x:f>
        <x:v>0</x:v>
      </x:c>
      <x:c r="P132" s="28" t="n">
        <x:f>ROUNDDOWN(O132,0)</x:f>
        <x:v>0</x:v>
      </x:c>
      <x:c r="Q132" s="28" t="n">
        <x:f>ROUND(O132-P132,10)</x:f>
        <x:v>0</x:v>
      </x:c>
      <x:c r="R132" s="10" t="n">
        <x:f>IF(L132=1,0,COUNTIFS($A$5:$A$148,A132,$B$5:$B$148,B132,$L$5:$L$148,0,$Q$5:$Q$148,"&gt;"&amp;Q132)+COUNTIFS($A$5:$A$148,A132,$B$5:$B$148,B132,$L$5:$L$148,0,$Q$5:$Q$148,Q132,$C$5:$C$148,"&lt;"&amp;C132)+1)</x:f>
        <x:v>4</x:v>
      </x:c>
      <x:c r="S132" s="10" t="n">
        <x:f>ROUND(M132*100-SUMIFS($P$5:$P$148,$A$5:$A$148,A132,$B$5:$B$148,B132,$L$5:$L$148,0),0)</x:f>
        <x:v>2</x:v>
      </x:c>
      <x:c r="T132" s="16" t="n">
        <x:f>IF(L132=1,J132,(P132+IF(R132&lt;=S132,1,0))/100)</x:f>
        <x:v>0</x:v>
      </x:c>
      <x:c r="U132" s="30" t="n">
        <x:f>'项目计算'!S36</x:f>
        <x:v>0</x:v>
      </x:c>
      <x:c r="V132" s="16" t="n">
        <x:f>ROUND(T132*(1-U132),2)</x:f>
        <x:v>0</x:v>
      </x:c>
      <x:c r="W132" s="16" t="n">
        <x:f>T132-V132</x:f>
        <x:v>0</x:v>
      </x:c>
    </x:row>
    <x:row r="133" ht="22" customHeight="1">
      <x:c r="A133" s="1" t="str">
        <x:v>V3</x:v>
      </x:c>
      <x:c r="B133" s="1" t="str">
        <x:v>J09</x:v>
      </x:c>
      <x:c r="C133" s="1" t="str">
        <x:v>J09-U007</x:v>
      </x:c>
      <x:c r="D133" s="1" t="str">
        <x:v>U007</x:v>
      </x:c>
      <x:c r="E133" s="23" t="n">
        <x:v>132.5</x:v>
      </x:c>
      <x:c r="F133" s="23" t="n">
        <x:v>1.2</x:v>
      </x:c>
      <x:c r="G133" s="1" t="n">
        <x:v>94</x:v>
      </x:c>
      <x:c r="H133" s="1" t="n">
        <x:v>1</x:v>
      </x:c>
      <x:c r="I133" s="25" t="n">
        <x:f>E133*F133*G133/100*H133</x:f>
        <x:v>149.46</x:v>
      </x:c>
      <x:c r="J133" s="15"/>
      <x:c r="K133" s="17" t="n">
        <x:f>'项目计算'!R37</x:f>
        <x:v>16800</x:v>
      </x:c>
      <x:c r="L133" s="1" t="n">
        <x:v>0</x:v>
      </x:c>
      <x:c r="M133" s="15" t="n">
        <x:f>K133-SUMIFS($J$5:$J$148,$A$5:$A$148,A133,$B$5:$B$148,B133)</x:f>
        <x:v>16800</x:v>
      </x:c>
      <x:c r="N133" s="27" t="n">
        <x:f>SUMIFS($I$5:$I$148,$A$5:$A$148,A133,$B$5:$B$148,B133,$L$5:$L$148,0)</x:f>
        <x:v>378.1895</x:v>
      </x:c>
      <x:c r="O133" s="27" t="n">
        <x:f>IF(L133=1,J133*100,IF(N133=0,0,M133*100*I133/N133))</x:f>
        <x:v>663933.8215365577</x:v>
      </x:c>
      <x:c r="P133" s="27" t="n">
        <x:f>ROUNDDOWN(O133,0)</x:f>
        <x:v>663933</x:v>
      </x:c>
      <x:c r="Q133" s="27" t="n">
        <x:f>ROUND(O133-P133,10)</x:f>
        <x:v>0.8215365577</x:v>
      </x:c>
      <x:c r="R133" s="1" t="n">
        <x:f>IF(L133=1,0,COUNTIFS($A$5:$A$148,A133,$B$5:$B$148,B133,$L$5:$L$148,0,$Q$5:$Q$148,"&gt;"&amp;Q133)+COUNTIFS($A$5:$A$148,A133,$B$5:$B$148,B133,$L$5:$L$148,0,$Q$5:$Q$148,Q133,$C$5:$C$148,"&lt;"&amp;C133)+1)</x:f>
        <x:v>1</x:v>
      </x:c>
      <x:c r="S133" s="1" t="n">
        <x:f>ROUND(M133*100-SUMIFS($P$5:$P$148,$A$5:$A$148,A133,$B$5:$B$148,B133,$L$5:$L$148,0),0)</x:f>
        <x:v>3</x:v>
      </x:c>
      <x:c r="T133" s="15" t="n">
        <x:f>IF(L133=1,J133,(P133+IF(R133&lt;=S133,1,0))/100)</x:f>
        <x:v>6639.34</x:v>
      </x:c>
      <x:c r="U133" s="29" t="n">
        <x:f>'项目计算'!S37</x:f>
        <x:v>0.2</x:v>
      </x:c>
      <x:c r="V133" s="15" t="n">
        <x:f>ROUND(T133*(1-U133),2)</x:f>
        <x:v>5311.47</x:v>
      </x:c>
      <x:c r="W133" s="15" t="n">
        <x:f>T133-V133</x:f>
        <x:v>1327.87</x:v>
      </x:c>
    </x:row>
    <x:row r="134" ht="22" customHeight="1">
      <x:c r="A134" s="10" t="str">
        <x:v>V3</x:v>
      </x:c>
      <x:c r="B134" s="10" t="str">
        <x:v>J09</x:v>
      </x:c>
      <x:c r="C134" s="10" t="str">
        <x:v>J09-U008</x:v>
      </x:c>
      <x:c r="D134" s="10" t="str">
        <x:v>U008</x:v>
      </x:c>
      <x:c r="E134" s="24" t="n">
        <x:v>77.5</x:v>
      </x:c>
      <x:c r="F134" s="24" t="n">
        <x:v>1</x:v>
      </x:c>
      <x:c r="G134" s="10" t="n">
        <x:v>97</x:v>
      </x:c>
      <x:c r="H134" s="10" t="n">
        <x:v>1</x:v>
      </x:c>
      <x:c r="I134" s="26" t="n">
        <x:f>E134*F134*G134/100*H134</x:f>
        <x:v>75.175</x:v>
      </x:c>
      <x:c r="J134" s="16"/>
      <x:c r="K134" s="18" t="n">
        <x:f>'项目计算'!R37</x:f>
        <x:v>16800</x:v>
      </x:c>
      <x:c r="L134" s="10" t="n">
        <x:v>0</x:v>
      </x:c>
      <x:c r="M134" s="16" t="n">
        <x:f>K134-SUMIFS($J$5:$J$148,$A$5:$A$148,A134,$B$5:$B$148,B134)</x:f>
        <x:v>16800</x:v>
      </x:c>
      <x:c r="N134" s="28" t="n">
        <x:f>SUMIFS($I$5:$I$148,$A$5:$A$148,A134,$B$5:$B$148,B134,$L$5:$L$148,0)</x:f>
        <x:v>378.1895</x:v>
      </x:c>
      <x:c r="O134" s="28" t="n">
        <x:f>IF(L134=1,J134*100,IF(N134=0,0,M134*100*I134/N134))</x:f>
        <x:v>333943.6975378745</x:v>
      </x:c>
      <x:c r="P134" s="28" t="n">
        <x:f>ROUNDDOWN(O134,0)</x:f>
        <x:v>333943</x:v>
      </x:c>
      <x:c r="Q134" s="28" t="n">
        <x:f>ROUND(O134-P134,10)</x:f>
        <x:v>0.6975378745</x:v>
      </x:c>
      <x:c r="R134" s="10" t="n">
        <x:f>IF(L134=1,0,COUNTIFS($A$5:$A$148,A134,$B$5:$B$148,B134,$L$5:$L$148,0,$Q$5:$Q$148,"&gt;"&amp;Q134)+COUNTIFS($A$5:$A$148,A134,$B$5:$B$148,B134,$L$5:$L$148,0,$Q$5:$Q$148,Q134,$C$5:$C$148,"&lt;"&amp;C134)+1)</x:f>
        <x:v>3</x:v>
      </x:c>
      <x:c r="S134" s="10" t="n">
        <x:f>ROUND(M134*100-SUMIFS($P$5:$P$148,$A$5:$A$148,A134,$B$5:$B$148,B134,$L$5:$L$148,0),0)</x:f>
        <x:v>3</x:v>
      </x:c>
      <x:c r="T134" s="16" t="n">
        <x:f>IF(L134=1,J134,(P134+IF(R134&lt;=S134,1,0))/100)</x:f>
        <x:v>3339.44</x:v>
      </x:c>
      <x:c r="U134" s="30" t="n">
        <x:f>'项目计算'!S37</x:f>
        <x:v>0.2</x:v>
      </x:c>
      <x:c r="V134" s="16" t="n">
        <x:f>ROUND(T134*(1-U134),2)</x:f>
        <x:v>2671.55</x:v>
      </x:c>
      <x:c r="W134" s="16" t="n">
        <x:f>T134-V134</x:f>
        <x:v>667.8899999999999</x:v>
      </x:c>
    </x:row>
    <x:row r="135" ht="22" customHeight="1">
      <x:c r="A135" s="1" t="str">
        <x:v>V3</x:v>
      </x:c>
      <x:c r="B135" s="1" t="str">
        <x:v>J09</x:v>
      </x:c>
      <x:c r="C135" s="1" t="str">
        <x:v>J09-U009</x:v>
      </x:c>
      <x:c r="D135" s="1" t="str">
        <x:v>U009</x:v>
      </x:c>
      <x:c r="E135" s="23" t="n">
        <x:v>83</x:v>
      </x:c>
      <x:c r="F135" s="23" t="n">
        <x:v>1.1</x:v>
      </x:c>
      <x:c r="G135" s="1" t="n">
        <x:v>79</x:v>
      </x:c>
      <x:c r="H135" s="1" t="n">
        <x:v>1</x:v>
      </x:c>
      <x:c r="I135" s="25" t="n">
        <x:f>E135*F135*G135/100*H135</x:f>
        <x:v>72.12700000000001</x:v>
      </x:c>
      <x:c r="J135" s="15"/>
      <x:c r="K135" s="17" t="n">
        <x:f>'项目计算'!R37</x:f>
        <x:v>16800</x:v>
      </x:c>
      <x:c r="L135" s="1" t="n">
        <x:v>0</x:v>
      </x:c>
      <x:c r="M135" s="15" t="n">
        <x:f>K135-SUMIFS($J$5:$J$148,$A$5:$A$148,A135,$B$5:$B$148,B135)</x:f>
        <x:v>16800</x:v>
      </x:c>
      <x:c r="N135" s="27" t="n">
        <x:f>SUMIFS($I$5:$I$148,$A$5:$A$148,A135,$B$5:$B$148,B135,$L$5:$L$148,0)</x:f>
        <x:v>378.1895</x:v>
      </x:c>
      <x:c r="O135" s="27" t="n">
        <x:f>IF(L135=1,J135*100,IF(N135=0,0,M135*100*I135/N135))</x:f>
        <x:v>320403.8187205092</x:v>
      </x:c>
      <x:c r="P135" s="27" t="n">
        <x:f>ROUNDDOWN(O135,0)</x:f>
        <x:v>320403</x:v>
      </x:c>
      <x:c r="Q135" s="27" t="n">
        <x:f>ROUND(O135-P135,10)</x:f>
        <x:v>0.8187205092</x:v>
      </x:c>
      <x:c r="R135" s="1" t="n">
        <x:f>IF(L135=1,0,COUNTIFS($A$5:$A$148,A135,$B$5:$B$148,B135,$L$5:$L$148,0,$Q$5:$Q$148,"&gt;"&amp;Q135)+COUNTIFS($A$5:$A$148,A135,$B$5:$B$148,B135,$L$5:$L$148,0,$Q$5:$Q$148,Q135,$C$5:$C$148,"&lt;"&amp;C135)+1)</x:f>
        <x:v>2</x:v>
      </x:c>
      <x:c r="S135" s="1" t="n">
        <x:f>ROUND(M135*100-SUMIFS($P$5:$P$148,$A$5:$A$148,A135,$B$5:$B$148,B135,$L$5:$L$148,0),0)</x:f>
        <x:v>3</x:v>
      </x:c>
      <x:c r="T135" s="15" t="n">
        <x:f>IF(L135=1,J135,(P135+IF(R135&lt;=S135,1,0))/100)</x:f>
        <x:v>3204.04</x:v>
      </x:c>
      <x:c r="U135" s="29" t="n">
        <x:f>'项目计算'!S37</x:f>
        <x:v>0.2</x:v>
      </x:c>
      <x:c r="V135" s="15" t="n">
        <x:f>ROUND(T135*(1-U135),2)</x:f>
        <x:v>2563.23</x:v>
      </x:c>
      <x:c r="W135" s="15" t="n">
        <x:f>T135-V135</x:f>
        <x:v>640.81</x:v>
      </x:c>
    </x:row>
    <x:row r="136" ht="22" customHeight="1">
      <x:c r="A136" s="10" t="str">
        <x:v>V3</x:v>
      </x:c>
      <x:c r="B136" s="10" t="str">
        <x:v>J09</x:v>
      </x:c>
      <x:c r="C136" s="10" t="str">
        <x:v>J09-U010</x:v>
      </x:c>
      <x:c r="D136" s="10" t="str">
        <x:v>U010</x:v>
      </x:c>
      <x:c r="E136" s="24" t="n">
        <x:v>117.5</x:v>
      </x:c>
      <x:c r="F136" s="24" t="n">
        <x:v>0.9</x:v>
      </x:c>
      <x:c r="G136" s="10" t="n">
        <x:v>77</x:v>
      </x:c>
      <x:c r="H136" s="10" t="n">
        <x:v>1</x:v>
      </x:c>
      <x:c r="I136" s="26" t="n">
        <x:f>E136*F136*G136/100*H136</x:f>
        <x:v>81.4275</x:v>
      </x:c>
      <x:c r="J136" s="16"/>
      <x:c r="K136" s="18" t="n">
        <x:f>'项目计算'!R37</x:f>
        <x:v>16800</x:v>
      </x:c>
      <x:c r="L136" s="10" t="n">
        <x:v>0</x:v>
      </x:c>
      <x:c r="M136" s="16" t="n">
        <x:f>K136-SUMIFS($J$5:$J$148,$A$5:$A$148,A136,$B$5:$B$148,B136)</x:f>
        <x:v>16800</x:v>
      </x:c>
      <x:c r="N136" s="28" t="n">
        <x:f>SUMIFS($I$5:$I$148,$A$5:$A$148,A136,$B$5:$B$148,B136,$L$5:$L$148,0)</x:f>
        <x:v>378.1895</x:v>
      </x:c>
      <x:c r="O136" s="28" t="n">
        <x:f>IF(L136=1,J136*100,IF(N136=0,0,M136*100*I136/N136))</x:f>
        <x:v>361718.66220505856</x:v>
      </x:c>
      <x:c r="P136" s="28" t="n">
        <x:f>ROUNDDOWN(O136,0)</x:f>
        <x:v>361718</x:v>
      </x:c>
      <x:c r="Q136" s="28" t="n">
        <x:f>ROUND(O136-P136,10)</x:f>
        <x:v>0.6622050586</x:v>
      </x:c>
      <x:c r="R136" s="10" t="n">
        <x:f>IF(L136=1,0,COUNTIFS($A$5:$A$148,A136,$B$5:$B$148,B136,$L$5:$L$148,0,$Q$5:$Q$148,"&gt;"&amp;Q136)+COUNTIFS($A$5:$A$148,A136,$B$5:$B$148,B136,$L$5:$L$148,0,$Q$5:$Q$148,Q136,$C$5:$C$148,"&lt;"&amp;C136)+1)</x:f>
        <x:v>4</x:v>
      </x:c>
      <x:c r="S136" s="10" t="n">
        <x:f>ROUND(M136*100-SUMIFS($P$5:$P$148,$A$5:$A$148,A136,$B$5:$B$148,B136,$L$5:$L$148,0),0)</x:f>
        <x:v>3</x:v>
      </x:c>
      <x:c r="T136" s="16" t="n">
        <x:f>IF(L136=1,J136,(P136+IF(R136&lt;=S136,1,0))/100)</x:f>
        <x:v>3617.18</x:v>
      </x:c>
      <x:c r="U136" s="30" t="n">
        <x:f>'项目计算'!S37</x:f>
        <x:v>0.2</x:v>
      </x:c>
      <x:c r="V136" s="16" t="n">
        <x:f>ROUND(T136*(1-U136),2)</x:f>
        <x:v>2893.74</x:v>
      </x:c>
      <x:c r="W136" s="16" t="n">
        <x:f>T136-V136</x:f>
        <x:v>723.44</x:v>
      </x:c>
    </x:row>
    <x:row r="137" ht="22" customHeight="1">
      <x:c r="A137" s="1" t="str">
        <x:v>V3</x:v>
      </x:c>
      <x:c r="B137" s="1" t="str">
        <x:v>J10</x:v>
      </x:c>
      <x:c r="C137" s="1" t="str">
        <x:v>J10-U010</x:v>
      </x:c>
      <x:c r="D137" s="1" t="str">
        <x:v>U010</x:v>
      </x:c>
      <x:c r="E137" s="23" t="n">
        <x:v>116.5</x:v>
      </x:c>
      <x:c r="F137" s="23" t="n">
        <x:v>1.2</x:v>
      </x:c>
      <x:c r="G137" s="1" t="n">
        <x:v>60</x:v>
      </x:c>
      <x:c r="H137" s="1" t="n">
        <x:v>1</x:v>
      </x:c>
      <x:c r="I137" s="25" t="n">
        <x:f>E137*F137*G137/100*H137</x:f>
        <x:v>83.87999999999998</x:v>
      </x:c>
      <x:c r="J137" s="15"/>
      <x:c r="K137" s="17" t="n">
        <x:f>'项目计算'!R38</x:f>
        <x:v>8000</x:v>
      </x:c>
      <x:c r="L137" s="1" t="n">
        <x:v>0</x:v>
      </x:c>
      <x:c r="M137" s="15" t="n">
        <x:f>K137-SUMIFS($J$5:$J$148,$A$5:$A$148,A137,$B$5:$B$148,B137)</x:f>
        <x:v>8000</x:v>
      </x:c>
      <x:c r="N137" s="27" t="n">
        <x:f>SUMIFS($I$5:$I$148,$A$5:$A$148,A137,$B$5:$B$148,B137,$L$5:$L$148,0)</x:f>
        <x:v>330.48749999999995</x:v>
      </x:c>
      <x:c r="O137" s="27" t="n">
        <x:f>IF(L137=1,J137*100,IF(N137=0,0,M137*100*I137/N137))</x:f>
        <x:v>203045.50096448426</x:v>
      </x:c>
      <x:c r="P137" s="27" t="n">
        <x:f>ROUNDDOWN(O137,0)</x:f>
        <x:v>203045</x:v>
      </x:c>
      <x:c r="Q137" s="27" t="n">
        <x:f>ROUND(O137-P137,10)</x:f>
        <x:v>0.5009644843</x:v>
      </x:c>
      <x:c r="R137" s="1" t="n">
        <x:f>IF(L137=1,0,COUNTIFS($A$5:$A$148,A137,$B$5:$B$148,B137,$L$5:$L$148,0,$Q$5:$Q$148,"&gt;"&amp;Q137)+COUNTIFS($A$5:$A$148,A137,$B$5:$B$148,B137,$L$5:$L$148,0,$Q$5:$Q$148,Q137,$C$5:$C$148,"&lt;"&amp;C137)+1)</x:f>
        <x:v>1</x:v>
      </x:c>
      <x:c r="S137" s="1" t="n">
        <x:f>ROUND(M137*100-SUMIFS($P$5:$P$148,$A$5:$A$148,A137,$B$5:$B$148,B137,$L$5:$L$148,0),0)</x:f>
        <x:v>1</x:v>
      </x:c>
      <x:c r="T137" s="15" t="n">
        <x:f>IF(L137=1,J137,(P137+IF(R137&lt;=S137,1,0))/100)</x:f>
        <x:v>2030.46</x:v>
      </x:c>
      <x:c r="U137" s="29" t="n">
        <x:f>'项目计算'!S38</x:f>
        <x:v>0</x:v>
      </x:c>
      <x:c r="V137" s="15" t="n">
        <x:f>ROUND(T137*(1-U137),2)</x:f>
        <x:v>2030.46</x:v>
      </x:c>
      <x:c r="W137" s="15" t="n">
        <x:f>T137-V137</x:f>
        <x:v>0</x:v>
      </x:c>
    </x:row>
    <x:row r="138" ht="22" customHeight="1">
      <x:c r="A138" s="10" t="str">
        <x:v>V3</x:v>
      </x:c>
      <x:c r="B138" s="10" t="str">
        <x:v>J10</x:v>
      </x:c>
      <x:c r="C138" s="10" t="str">
        <x:v>J10-U011</x:v>
      </x:c>
      <x:c r="D138" s="10" t="str">
        <x:v>U011</x:v>
      </x:c>
      <x:c r="E138" s="24" t="n">
        <x:v>117.5</x:v>
      </x:c>
      <x:c r="F138" s="24" t="n">
        <x:v>1</x:v>
      </x:c>
      <x:c r="G138" s="10" t="n">
        <x:v>96</x:v>
      </x:c>
      <x:c r="H138" s="10" t="n">
        <x:v>1</x:v>
      </x:c>
      <x:c r="I138" s="26" t="n">
        <x:f>E138*F138*G138/100*H138</x:f>
        <x:v>112.8</x:v>
      </x:c>
      <x:c r="J138" s="16"/>
      <x:c r="K138" s="18" t="n">
        <x:f>'项目计算'!R38</x:f>
        <x:v>8000</x:v>
      </x:c>
      <x:c r="L138" s="10" t="n">
        <x:v>0</x:v>
      </x:c>
      <x:c r="M138" s="16" t="n">
        <x:f>K138-SUMIFS($J$5:$J$148,$A$5:$A$148,A138,$B$5:$B$148,B138)</x:f>
        <x:v>8000</x:v>
      </x:c>
      <x:c r="N138" s="28" t="n">
        <x:f>SUMIFS($I$5:$I$148,$A$5:$A$148,A138,$B$5:$B$148,B138,$L$5:$L$148,0)</x:f>
        <x:v>330.48749999999995</x:v>
      </x:c>
      <x:c r="O138" s="28" t="n">
        <x:f>IF(L138=1,J138*100,IF(N138=0,0,M138*100*I138/N138))</x:f>
        <x:v>273051.1744014524</x:v>
      </x:c>
      <x:c r="P138" s="28" t="n">
        <x:f>ROUNDDOWN(O138,0)</x:f>
        <x:v>273051</x:v>
      </x:c>
      <x:c r="Q138" s="28" t="n">
        <x:f>ROUND(O138-P138,10)</x:f>
        <x:v>0.1744014524</x:v>
      </x:c>
      <x:c r="R138" s="10" t="n">
        <x:f>IF(L138=1,0,COUNTIFS($A$5:$A$148,A138,$B$5:$B$148,B138,$L$5:$L$148,0,$Q$5:$Q$148,"&gt;"&amp;Q138)+COUNTIFS($A$5:$A$148,A138,$B$5:$B$148,B138,$L$5:$L$148,0,$Q$5:$Q$148,Q138,$C$5:$C$148,"&lt;"&amp;C138)+1)</x:f>
        <x:v>3</x:v>
      </x:c>
      <x:c r="S138" s="10" t="n">
        <x:f>ROUND(M138*100-SUMIFS($P$5:$P$148,$A$5:$A$148,A138,$B$5:$B$148,B138,$L$5:$L$148,0),0)</x:f>
        <x:v>1</x:v>
      </x:c>
      <x:c r="T138" s="16" t="n">
        <x:f>IF(L138=1,J138,(P138+IF(R138&lt;=S138,1,0))/100)</x:f>
        <x:v>2730.51</x:v>
      </x:c>
      <x:c r="U138" s="30" t="n">
        <x:f>'项目计算'!S38</x:f>
        <x:v>0</x:v>
      </x:c>
      <x:c r="V138" s="16" t="n">
        <x:f>ROUND(T138*(1-U138),2)</x:f>
        <x:v>2730.51</x:v>
      </x:c>
      <x:c r="W138" s="16" t="n">
        <x:f>T138-V138</x:f>
        <x:v>0</x:v>
      </x:c>
    </x:row>
    <x:row r="139" ht="22" customHeight="1">
      <x:c r="A139" s="1" t="str">
        <x:v>V3</x:v>
      </x:c>
      <x:c r="B139" s="1" t="str">
        <x:v>J10</x:v>
      </x:c>
      <x:c r="C139" s="1" t="str">
        <x:v>J10-U012</x:v>
      </x:c>
      <x:c r="D139" s="1" t="str">
        <x:v>U012</x:v>
      </x:c>
      <x:c r="E139" s="23" t="n">
        <x:v>54</x:v>
      </x:c>
      <x:c r="F139" s="23" t="n">
        <x:v>1.1</x:v>
      </x:c>
      <x:c r="G139" s="1" t="n">
        <x:v>95</x:v>
      </x:c>
      <x:c r="H139" s="1" t="n">
        <x:v>1</x:v>
      </x:c>
      <x:c r="I139" s="25" t="n">
        <x:f>E139*F139*G139/100*H139</x:f>
        <x:v>56.43000000000001</x:v>
      </x:c>
      <x:c r="J139" s="15"/>
      <x:c r="K139" s="17" t="n">
        <x:f>'项目计算'!R38</x:f>
        <x:v>8000</x:v>
      </x:c>
      <x:c r="L139" s="1" t="n">
        <x:v>0</x:v>
      </x:c>
      <x:c r="M139" s="15" t="n">
        <x:f>K139-SUMIFS($J$5:$J$148,$A$5:$A$148,A139,$B$5:$B$148,B139)</x:f>
        <x:v>8000</x:v>
      </x:c>
      <x:c r="N139" s="27" t="n">
        <x:f>SUMIFS($I$5:$I$148,$A$5:$A$148,A139,$B$5:$B$148,B139,$L$5:$L$148,0)</x:f>
        <x:v>330.48749999999995</x:v>
      </x:c>
      <x:c r="O139" s="27" t="n">
        <x:f>IF(L139=1,J139*100,IF(N139=0,0,M139*100*I139/N139))</x:f>
        <x:v>136598.20719391812</x:v>
      </x:c>
      <x:c r="P139" s="27" t="n">
        <x:f>ROUNDDOWN(O139,0)</x:f>
        <x:v>136598</x:v>
      </x:c>
      <x:c r="Q139" s="27" t="n">
        <x:f>ROUND(O139-P139,10)</x:f>
        <x:v>0.2071939181</x:v>
      </x:c>
      <x:c r="R139" s="1" t="n">
        <x:f>IF(L139=1,0,COUNTIFS($A$5:$A$148,A139,$B$5:$B$148,B139,$L$5:$L$148,0,$Q$5:$Q$148,"&gt;"&amp;Q139)+COUNTIFS($A$5:$A$148,A139,$B$5:$B$148,B139,$L$5:$L$148,0,$Q$5:$Q$148,Q139,$C$5:$C$148,"&lt;"&amp;C139)+1)</x:f>
        <x:v>2</x:v>
      </x:c>
      <x:c r="S139" s="1" t="n">
        <x:f>ROUND(M139*100-SUMIFS($P$5:$P$148,$A$5:$A$148,A139,$B$5:$B$148,B139,$L$5:$L$148,0),0)</x:f>
        <x:v>1</x:v>
      </x:c>
      <x:c r="T139" s="15" t="n">
        <x:f>IF(L139=1,J139,(P139+IF(R139&lt;=S139,1,0))/100)</x:f>
        <x:v>1365.98</x:v>
      </x:c>
      <x:c r="U139" s="29" t="n">
        <x:f>'项目计算'!S38</x:f>
        <x:v>0</x:v>
      </x:c>
      <x:c r="V139" s="15" t="n">
        <x:f>ROUND(T139*(1-U139),2)</x:f>
        <x:v>1365.98</x:v>
      </x:c>
      <x:c r="W139" s="15" t="n">
        <x:f>T139-V139</x:f>
        <x:v>0</x:v>
      </x:c>
    </x:row>
    <x:row r="140" ht="22" customHeight="1">
      <x:c r="A140" s="10" t="str">
        <x:v>V3</x:v>
      </x:c>
      <x:c r="B140" s="10" t="str">
        <x:v>J10</x:v>
      </x:c>
      <x:c r="C140" s="10" t="str">
        <x:v>J10-U013</x:v>
      </x:c>
      <x:c r="D140" s="10" t="str">
        <x:v>U013</x:v>
      </x:c>
      <x:c r="E140" s="24" t="n">
        <x:v>90.5</x:v>
      </x:c>
      <x:c r="F140" s="24" t="n">
        <x:v>0.9</x:v>
      </x:c>
      <x:c r="G140" s="10" t="n">
        <x:v>95</x:v>
      </x:c>
      <x:c r="H140" s="10" t="n">
        <x:v>1</x:v>
      </x:c>
      <x:c r="I140" s="26" t="n">
        <x:f>E140*F140*G140/100*H140</x:f>
        <x:v>77.3775</x:v>
      </x:c>
      <x:c r="J140" s="16"/>
      <x:c r="K140" s="18" t="n">
        <x:f>'项目计算'!R38</x:f>
        <x:v>8000</x:v>
      </x:c>
      <x:c r="L140" s="10" t="n">
        <x:v>0</x:v>
      </x:c>
      <x:c r="M140" s="16" t="n">
        <x:f>K140-SUMIFS($J$5:$J$148,$A$5:$A$148,A140,$B$5:$B$148,B140)</x:f>
        <x:v>8000</x:v>
      </x:c>
      <x:c r="N140" s="28" t="n">
        <x:f>SUMIFS($I$5:$I$148,$A$5:$A$148,A140,$B$5:$B$148,B140,$L$5:$L$148,0)</x:f>
        <x:v>330.48749999999995</x:v>
      </x:c>
      <x:c r="O140" s="28" t="n">
        <x:f>IF(L140=1,J140*100,IF(N140=0,0,M140*100*I140/N140))</x:f>
        <x:v>187305.11744014526</x:v>
      </x:c>
      <x:c r="P140" s="28" t="n">
        <x:f>ROUNDDOWN(O140,0)</x:f>
        <x:v>187305</x:v>
      </x:c>
      <x:c r="Q140" s="28" t="n">
        <x:f>ROUND(O140-P140,10)</x:f>
        <x:v>0.1174401453</x:v>
      </x:c>
      <x:c r="R140" s="10" t="n">
        <x:f>IF(L140=1,0,COUNTIFS($A$5:$A$148,A140,$B$5:$B$148,B140,$L$5:$L$148,0,$Q$5:$Q$148,"&gt;"&amp;Q140)+COUNTIFS($A$5:$A$148,A140,$B$5:$B$148,B140,$L$5:$L$148,0,$Q$5:$Q$148,Q140,$C$5:$C$148,"&lt;"&amp;C140)+1)</x:f>
        <x:v>4</x:v>
      </x:c>
      <x:c r="S140" s="10" t="n">
        <x:f>ROUND(M140*100-SUMIFS($P$5:$P$148,$A$5:$A$148,A140,$B$5:$B$148,B140,$L$5:$L$148,0),0)</x:f>
        <x:v>1</x:v>
      </x:c>
      <x:c r="T140" s="16" t="n">
        <x:f>IF(L140=1,J140,(P140+IF(R140&lt;=S140,1,0))/100)</x:f>
        <x:v>1873.05</x:v>
      </x:c>
      <x:c r="U140" s="30" t="n">
        <x:f>'项目计算'!S38</x:f>
        <x:v>0</x:v>
      </x:c>
      <x:c r="V140" s="16" t="n">
        <x:f>ROUND(T140*(1-U140),2)</x:f>
        <x:v>1873.05</x:v>
      </x:c>
      <x:c r="W140" s="16" t="n">
        <x:f>T140-V140</x:f>
        <x:v>0</x:v>
      </x:c>
    </x:row>
    <x:row r="141" ht="22" customHeight="1">
      <x:c r="A141" s="1" t="str">
        <x:v>V3</x:v>
      </x:c>
      <x:c r="B141" s="1" t="str">
        <x:v>J11</x:v>
      </x:c>
      <x:c r="C141" s="1" t="str">
        <x:v>J11-U013</x:v>
      </x:c>
      <x:c r="D141" s="1" t="str">
        <x:v>U013</x:v>
      </x:c>
      <x:c r="E141" s="23" t="n">
        <x:v>95.5</x:v>
      </x:c>
      <x:c r="F141" s="23" t="n">
        <x:v>1.2</x:v>
      </x:c>
      <x:c r="G141" s="1" t="n">
        <x:v>65</x:v>
      </x:c>
      <x:c r="H141" s="1" t="n">
        <x:v>1</x:v>
      </x:c>
      <x:c r="I141" s="25" t="n">
        <x:f>E141*F141*G141/100*H141</x:f>
        <x:v>74.49</x:v>
      </x:c>
      <x:c r="J141" s="15"/>
      <x:c r="K141" s="17" t="n">
        <x:f>'项目计算'!R39</x:f>
        <x:v>0</x:v>
      </x:c>
      <x:c r="L141" s="1" t="n">
        <x:v>0</x:v>
      </x:c>
      <x:c r="M141" s="15" t="n">
        <x:f>K141-SUMIFS($J$5:$J$148,$A$5:$A$148,A141,$B$5:$B$148,B141)</x:f>
        <x:v>0</x:v>
      </x:c>
      <x:c r="N141" s="27" t="n">
        <x:f>SUMIFS($I$5:$I$148,$A$5:$A$148,A141,$B$5:$B$148,B141,$L$5:$L$148,0)</x:f>
        <x:v>357.88700000000006</x:v>
      </x:c>
      <x:c r="O141" s="27" t="n">
        <x:f>IF(L141=1,J141*100,IF(N141=0,0,M141*100*I141/N141))</x:f>
        <x:v>0</x:v>
      </x:c>
      <x:c r="P141" s="27" t="n">
        <x:f>ROUNDDOWN(O141,0)</x:f>
        <x:v>0</x:v>
      </x:c>
      <x:c r="Q141" s="27" t="n">
        <x:f>ROUND(O141-P141,10)</x:f>
        <x:v>0</x:v>
      </x:c>
      <x:c r="R141" s="1" t="n">
        <x:f>IF(L141=1,0,COUNTIFS($A$5:$A$148,A141,$B$5:$B$148,B141,$L$5:$L$148,0,$Q$5:$Q$148,"&gt;"&amp;Q141)+COUNTIFS($A$5:$A$148,A141,$B$5:$B$148,B141,$L$5:$L$148,0,$Q$5:$Q$148,Q141,$C$5:$C$148,"&lt;"&amp;C141)+1)</x:f>
        <x:v>1</x:v>
      </x:c>
      <x:c r="S141" s="1" t="n">
        <x:f>ROUND(M141*100-SUMIFS($P$5:$P$148,$A$5:$A$148,A141,$B$5:$B$148,B141,$L$5:$L$148,0),0)</x:f>
        <x:v>0</x:v>
      </x:c>
      <x:c r="T141" s="15" t="n">
        <x:f>IF(L141=1,J141,(P141+IF(R141&lt;=S141,1,0))/100)</x:f>
        <x:v>0</x:v>
      </x:c>
      <x:c r="U141" s="29" t="n">
        <x:f>'项目计算'!S39</x:f>
        <x:v>0.2</x:v>
      </x:c>
      <x:c r="V141" s="15" t="n">
        <x:f>ROUND(T141*(1-U141),2)</x:f>
        <x:v>0</x:v>
      </x:c>
      <x:c r="W141" s="15" t="n">
        <x:f>T141-V141</x:f>
        <x:v>0</x:v>
      </x:c>
    </x:row>
    <x:row r="142" ht="22" customHeight="1">
      <x:c r="A142" s="10" t="str">
        <x:v>V3</x:v>
      </x:c>
      <x:c r="B142" s="10" t="str">
        <x:v>J11</x:v>
      </x:c>
      <x:c r="C142" s="10" t="str">
        <x:v>J11-U014</x:v>
      </x:c>
      <x:c r="D142" s="10" t="str">
        <x:v>U014</x:v>
      </x:c>
      <x:c r="E142" s="24" t="n">
        <x:v>106.5</x:v>
      </x:c>
      <x:c r="F142" s="24" t="n">
        <x:v>1</x:v>
      </x:c>
      <x:c r="G142" s="10" t="n">
        <x:v>79</x:v>
      </x:c>
      <x:c r="H142" s="10" t="n">
        <x:v>1</x:v>
      </x:c>
      <x:c r="I142" s="26" t="n">
        <x:f>E142*F142*G142/100*H142</x:f>
        <x:v>84.135</x:v>
      </x:c>
      <x:c r="J142" s="16"/>
      <x:c r="K142" s="18" t="n">
        <x:f>'项目计算'!R39</x:f>
        <x:v>0</x:v>
      </x:c>
      <x:c r="L142" s="10" t="n">
        <x:v>0</x:v>
      </x:c>
      <x:c r="M142" s="16" t="n">
        <x:f>K142-SUMIFS($J$5:$J$148,$A$5:$A$148,A142,$B$5:$B$148,B142)</x:f>
        <x:v>0</x:v>
      </x:c>
      <x:c r="N142" s="28" t="n">
        <x:f>SUMIFS($I$5:$I$148,$A$5:$A$148,A142,$B$5:$B$148,B142,$L$5:$L$148,0)</x:f>
        <x:v>357.88700000000006</x:v>
      </x:c>
      <x:c r="O142" s="28" t="n">
        <x:f>IF(L142=1,J142*100,IF(N142=0,0,M142*100*I142/N142))</x:f>
        <x:v>0</x:v>
      </x:c>
      <x:c r="P142" s="28" t="n">
        <x:f>ROUNDDOWN(O142,0)</x:f>
        <x:v>0</x:v>
      </x:c>
      <x:c r="Q142" s="28" t="n">
        <x:f>ROUND(O142-P142,10)</x:f>
        <x:v>0</x:v>
      </x:c>
      <x:c r="R142" s="10" t="n">
        <x:f>IF(L142=1,0,COUNTIFS($A$5:$A$148,A142,$B$5:$B$148,B142,$L$5:$L$148,0,$Q$5:$Q$148,"&gt;"&amp;Q142)+COUNTIFS($A$5:$A$148,A142,$B$5:$B$148,B142,$L$5:$L$148,0,$Q$5:$Q$148,Q142,$C$5:$C$148,"&lt;"&amp;C142)+1)</x:f>
        <x:v>2</x:v>
      </x:c>
      <x:c r="S142" s="10" t="n">
        <x:f>ROUND(M142*100-SUMIFS($P$5:$P$148,$A$5:$A$148,A142,$B$5:$B$148,B142,$L$5:$L$148,0),0)</x:f>
        <x:v>0</x:v>
      </x:c>
      <x:c r="T142" s="16" t="n">
        <x:f>IF(L142=1,J142,(P142+IF(R142&lt;=S142,1,0))/100)</x:f>
        <x:v>0</x:v>
      </x:c>
      <x:c r="U142" s="30" t="n">
        <x:f>'项目计算'!S39</x:f>
        <x:v>0.2</x:v>
      </x:c>
      <x:c r="V142" s="16" t="n">
        <x:f>ROUND(T142*(1-U142),2)</x:f>
        <x:v>0</x:v>
      </x:c>
      <x:c r="W142" s="16" t="n">
        <x:f>T142-V142</x:f>
        <x:v>0</x:v>
      </x:c>
    </x:row>
    <x:row r="143" ht="22" customHeight="1">
      <x:c r="A143" s="1" t="str">
        <x:v>V3</x:v>
      </x:c>
      <x:c r="B143" s="1" t="str">
        <x:v>J11</x:v>
      </x:c>
      <x:c r="C143" s="1" t="str">
        <x:v>J11-U015</x:v>
      </x:c>
      <x:c r="D143" s="1" t="str">
        <x:v>U015</x:v>
      </x:c>
      <x:c r="E143" s="23" t="n">
        <x:v>101</x:v>
      </x:c>
      <x:c r="F143" s="23" t="n">
        <x:v>1.1</x:v>
      </x:c>
      <x:c r="G143" s="1" t="n">
        <x:v>95</x:v>
      </x:c>
      <x:c r="H143" s="1" t="n">
        <x:v>1</x:v>
      </x:c>
      <x:c r="I143" s="25" t="n">
        <x:f>E143*F143*G143/100*H143</x:f>
        <x:v>105.545</x:v>
      </x:c>
      <x:c r="J143" s="15"/>
      <x:c r="K143" s="17" t="n">
        <x:f>'项目计算'!R39</x:f>
        <x:v>0</x:v>
      </x:c>
      <x:c r="L143" s="1" t="n">
        <x:v>0</x:v>
      </x:c>
      <x:c r="M143" s="15" t="n">
        <x:f>K143-SUMIFS($J$5:$J$148,$A$5:$A$148,A143,$B$5:$B$148,B143)</x:f>
        <x:v>0</x:v>
      </x:c>
      <x:c r="N143" s="27" t="n">
        <x:f>SUMIFS($I$5:$I$148,$A$5:$A$148,A143,$B$5:$B$148,B143,$L$5:$L$148,0)</x:f>
        <x:v>357.88700000000006</x:v>
      </x:c>
      <x:c r="O143" s="27" t="n">
        <x:f>IF(L143=1,J143*100,IF(N143=0,0,M143*100*I143/N143))</x:f>
        <x:v>0</x:v>
      </x:c>
      <x:c r="P143" s="27" t="n">
        <x:f>ROUNDDOWN(O143,0)</x:f>
        <x:v>0</x:v>
      </x:c>
      <x:c r="Q143" s="27" t="n">
        <x:f>ROUND(O143-P143,10)</x:f>
        <x:v>0</x:v>
      </x:c>
      <x:c r="R143" s="1" t="n">
        <x:f>IF(L143=1,0,COUNTIFS($A$5:$A$148,A143,$B$5:$B$148,B143,$L$5:$L$148,0,$Q$5:$Q$148,"&gt;"&amp;Q143)+COUNTIFS($A$5:$A$148,A143,$B$5:$B$148,B143,$L$5:$L$148,0,$Q$5:$Q$148,Q143,$C$5:$C$148,"&lt;"&amp;C143)+1)</x:f>
        <x:v>3</x:v>
      </x:c>
      <x:c r="S143" s="1" t="n">
        <x:f>ROUND(M143*100-SUMIFS($P$5:$P$148,$A$5:$A$148,A143,$B$5:$B$148,B143,$L$5:$L$148,0),0)</x:f>
        <x:v>0</x:v>
      </x:c>
      <x:c r="T143" s="15" t="n">
        <x:f>IF(L143=1,J143,(P143+IF(R143&lt;=S143,1,0))/100)</x:f>
        <x:v>0</x:v>
      </x:c>
      <x:c r="U143" s="29" t="n">
        <x:f>'项目计算'!S39</x:f>
        <x:v>0.2</x:v>
      </x:c>
      <x:c r="V143" s="15" t="n">
        <x:f>ROUND(T143*(1-U143),2)</x:f>
        <x:v>0</x:v>
      </x:c>
      <x:c r="W143" s="15" t="n">
        <x:f>T143-V143</x:f>
        <x:v>0</x:v>
      </x:c>
    </x:row>
    <x:row r="144" ht="22" customHeight="1">
      <x:c r="A144" s="10" t="str">
        <x:v>V3</x:v>
      </x:c>
      <x:c r="B144" s="10" t="str">
        <x:v>J11</x:v>
      </x:c>
      <x:c r="C144" s="10" t="str">
        <x:v>J11-U016</x:v>
      </x:c>
      <x:c r="D144" s="10" t="str">
        <x:v>U016</x:v>
      </x:c>
      <x:c r="E144" s="24" t="n">
        <x:v>133.5</x:v>
      </x:c>
      <x:c r="F144" s="24" t="n">
        <x:v>0.9</x:v>
      </x:c>
      <x:c r="G144" s="10" t="n">
        <x:v>78</x:v>
      </x:c>
      <x:c r="H144" s="10" t="n">
        <x:v>1</x:v>
      </x:c>
      <x:c r="I144" s="26" t="n">
        <x:f>E144*F144*G144/100*H144</x:f>
        <x:v>93.71700000000001</x:v>
      </x:c>
      <x:c r="J144" s="16"/>
      <x:c r="K144" s="18" t="n">
        <x:f>'项目计算'!R39</x:f>
        <x:v>0</x:v>
      </x:c>
      <x:c r="L144" s="10" t="n">
        <x:v>0</x:v>
      </x:c>
      <x:c r="M144" s="16" t="n">
        <x:f>K144-SUMIFS($J$5:$J$148,$A$5:$A$148,A144,$B$5:$B$148,B144)</x:f>
        <x:v>0</x:v>
      </x:c>
      <x:c r="N144" s="28" t="n">
        <x:f>SUMIFS($I$5:$I$148,$A$5:$A$148,A144,$B$5:$B$148,B144,$L$5:$L$148,0)</x:f>
        <x:v>357.88700000000006</x:v>
      </x:c>
      <x:c r="O144" s="28" t="n">
        <x:f>IF(L144=1,J144*100,IF(N144=0,0,M144*100*I144/N144))</x:f>
        <x:v>0</x:v>
      </x:c>
      <x:c r="P144" s="28" t="n">
        <x:f>ROUNDDOWN(O144,0)</x:f>
        <x:v>0</x:v>
      </x:c>
      <x:c r="Q144" s="28" t="n">
        <x:f>ROUND(O144-P144,10)</x:f>
        <x:v>0</x:v>
      </x:c>
      <x:c r="R144" s="10" t="n">
        <x:f>IF(L144=1,0,COUNTIFS($A$5:$A$148,A144,$B$5:$B$148,B144,$L$5:$L$148,0,$Q$5:$Q$148,"&gt;"&amp;Q144)+COUNTIFS($A$5:$A$148,A144,$B$5:$B$148,B144,$L$5:$L$148,0,$Q$5:$Q$148,Q144,$C$5:$C$148,"&lt;"&amp;C144)+1)</x:f>
        <x:v>4</x:v>
      </x:c>
      <x:c r="S144" s="10" t="n">
        <x:f>ROUND(M144*100-SUMIFS($P$5:$P$148,$A$5:$A$148,A144,$B$5:$B$148,B144,$L$5:$L$148,0),0)</x:f>
        <x:v>0</x:v>
      </x:c>
      <x:c r="T144" s="16" t="n">
        <x:f>IF(L144=1,J144,(P144+IF(R144&lt;=S144,1,0))/100)</x:f>
        <x:v>0</x:v>
      </x:c>
      <x:c r="U144" s="30" t="n">
        <x:f>'项目计算'!S39</x:f>
        <x:v>0.2</x:v>
      </x:c>
      <x:c r="V144" s="16" t="n">
        <x:f>ROUND(T144*(1-U144),2)</x:f>
        <x:v>0</x:v>
      </x:c>
      <x:c r="W144" s="16" t="n">
        <x:f>T144-V144</x:f>
        <x:v>0</x:v>
      </x:c>
    </x:row>
    <x:row r="145" ht="22" customHeight="1">
      <x:c r="A145" s="1" t="str">
        <x:v>V3</x:v>
      </x:c>
      <x:c r="B145" s="1" t="str">
        <x:v>J12</x:v>
      </x:c>
      <x:c r="C145" s="1" t="str">
        <x:v>J12-U016</x:v>
      </x:c>
      <x:c r="D145" s="1" t="str">
        <x:v>U016</x:v>
      </x:c>
      <x:c r="E145" s="23" t="n">
        <x:v>98.5</x:v>
      </x:c>
      <x:c r="F145" s="23" t="n">
        <x:v>1.2</x:v>
      </x:c>
      <x:c r="G145" s="1" t="n">
        <x:v>86</x:v>
      </x:c>
      <x:c r="H145" s="1" t="n">
        <x:v>1</x:v>
      </x:c>
      <x:c r="I145" s="25" t="n">
        <x:f>E145*F145*G145/100*H145</x:f>
        <x:v>101.65199999999999</x:v>
      </x:c>
      <x:c r="J145" s="15"/>
      <x:c r="K145" s="17" t="n">
        <x:f>'项目计算'!R40</x:f>
        <x:v>4365</x:v>
      </x:c>
      <x:c r="L145" s="1" t="n">
        <x:v>0</x:v>
      </x:c>
      <x:c r="M145" s="15" t="n">
        <x:f>K145-SUMIFS($J$5:$J$148,$A$5:$A$148,A145,$B$5:$B$148,B145)</x:f>
        <x:v>4365</x:v>
      </x:c>
      <x:c r="N145" s="27" t="n">
        <x:f>SUMIFS($I$5:$I$148,$A$5:$A$148,A145,$B$5:$B$148,B145,$L$5:$L$148,0)</x:f>
        <x:v>260.29449999999997</x:v>
      </x:c>
      <x:c r="O145" s="27" t="n">
        <x:f>IF(L145=1,J145*100,IF(N145=0,0,M145*100*I145/N145))</x:f>
        <x:v>170464.98485369456</x:v>
      </x:c>
      <x:c r="P145" s="27" t="n">
        <x:f>ROUNDDOWN(O145,0)</x:f>
        <x:v>170464</x:v>
      </x:c>
      <x:c r="Q145" s="27" t="n">
        <x:f>ROUND(O145-P145,10)</x:f>
        <x:v>0.9848536946</x:v>
      </x:c>
      <x:c r="R145" s="1" t="n">
        <x:f>IF(L145=1,0,COUNTIFS($A$5:$A$148,A145,$B$5:$B$148,B145,$L$5:$L$148,0,$Q$5:$Q$148,"&gt;"&amp;Q145)+COUNTIFS($A$5:$A$148,A145,$B$5:$B$148,B145,$L$5:$L$148,0,$Q$5:$Q$148,Q145,$C$5:$C$148,"&lt;"&amp;C145)+1)</x:f>
        <x:v>1</x:v>
      </x:c>
      <x:c r="S145" s="1" t="n">
        <x:f>ROUND(M145*100-SUMIFS($P$5:$P$148,$A$5:$A$148,A145,$B$5:$B$148,B145,$L$5:$L$148,0),0)</x:f>
        <x:v>2</x:v>
      </x:c>
      <x:c r="T145" s="15" t="n">
        <x:f>IF(L145=1,J145,(P145+IF(R145&lt;=S145,1,0))/100)</x:f>
        <x:v>1704.65</x:v>
      </x:c>
      <x:c r="U145" s="29" t="n">
        <x:f>'项目计算'!S40</x:f>
        <x:v>0.2</x:v>
      </x:c>
      <x:c r="V145" s="15" t="n">
        <x:f>ROUND(T145*(1-U145),2)</x:f>
        <x:v>1363.72</x:v>
      </x:c>
      <x:c r="W145" s="15" t="n">
        <x:f>T145-V145</x:f>
        <x:v>340.93000000000006</x:v>
      </x:c>
    </x:row>
    <x:row r="146" ht="22" customHeight="1">
      <x:c r="A146" s="10" t="str">
        <x:v>V3</x:v>
      </x:c>
      <x:c r="B146" s="10" t="str">
        <x:v>J12</x:v>
      </x:c>
      <x:c r="C146" s="10" t="str">
        <x:v>J12-U017</x:v>
      </x:c>
      <x:c r="D146" s="10" t="str">
        <x:v>U017</x:v>
      </x:c>
      <x:c r="E146" s="24" t="n">
        <x:v>131.5</x:v>
      </x:c>
      <x:c r="F146" s="24" t="n">
        <x:v>1</x:v>
      </x:c>
      <x:c r="G146" s="10" t="n">
        <x:v>67</x:v>
      </x:c>
      <x:c r="H146" s="10" t="n">
        <x:v>1</x:v>
      </x:c>
      <x:c r="I146" s="26" t="n">
        <x:f>E146*F146*G146/100*H146</x:f>
        <x:v>88.105</x:v>
      </x:c>
      <x:c r="J146" s="16"/>
      <x:c r="K146" s="18" t="n">
        <x:f>'项目计算'!R40</x:f>
        <x:v>4365</x:v>
      </x:c>
      <x:c r="L146" s="10" t="n">
        <x:v>0</x:v>
      </x:c>
      <x:c r="M146" s="16" t="n">
        <x:f>K146-SUMIFS($J$5:$J$148,$A$5:$A$148,A146,$B$5:$B$148,B146)</x:f>
        <x:v>4365</x:v>
      </x:c>
      <x:c r="N146" s="28" t="n">
        <x:f>SUMIFS($I$5:$I$148,$A$5:$A$148,A146,$B$5:$B$148,B146,$L$5:$L$148,0)</x:f>
        <x:v>260.29449999999997</x:v>
      </x:c>
      <x:c r="O146" s="28" t="n">
        <x:f>IF(L146=1,J146*100,IF(N146=0,0,M146*100*I146/N146))</x:f>
        <x:v>147747.38805468424</x:v>
      </x:c>
      <x:c r="P146" s="28" t="n">
        <x:f>ROUNDDOWN(O146,0)</x:f>
        <x:v>147747</x:v>
      </x:c>
      <x:c r="Q146" s="28" t="n">
        <x:f>ROUND(O146-P146,10)</x:f>
        <x:v>0.3880546842</x:v>
      </x:c>
      <x:c r="R146" s="10" t="n">
        <x:f>IF(L146=1,0,COUNTIFS($A$5:$A$148,A146,$B$5:$B$148,B146,$L$5:$L$148,0,$Q$5:$Q$148,"&gt;"&amp;Q146)+COUNTIFS($A$5:$A$148,A146,$B$5:$B$148,B146,$L$5:$L$148,0,$Q$5:$Q$148,Q146,$C$5:$C$148,"&lt;"&amp;C146)+1)</x:f>
        <x:v>3</x:v>
      </x:c>
      <x:c r="S146" s="10" t="n">
        <x:f>ROUND(M146*100-SUMIFS($P$5:$P$148,$A$5:$A$148,A146,$B$5:$B$148,B146,$L$5:$L$148,0),0)</x:f>
        <x:v>2</x:v>
      </x:c>
      <x:c r="T146" s="16" t="n">
        <x:f>IF(L146=1,J146,(P146+IF(R146&lt;=S146,1,0))/100)</x:f>
        <x:v>1477.47</x:v>
      </x:c>
      <x:c r="U146" s="30" t="n">
        <x:f>'项目计算'!S40</x:f>
        <x:v>0.2</x:v>
      </x:c>
      <x:c r="V146" s="16" t="n">
        <x:f>ROUND(T146*(1-U146),2)</x:f>
        <x:v>1181.98</x:v>
      </x:c>
      <x:c r="W146" s="16" t="n">
        <x:f>T146-V146</x:f>
        <x:v>295.49</x:v>
      </x:c>
    </x:row>
    <x:row r="147" ht="22" customHeight="1">
      <x:c r="A147" s="1" t="str">
        <x:v>V3</x:v>
      </x:c>
      <x:c r="B147" s="1" t="str">
        <x:v>J12</x:v>
      </x:c>
      <x:c r="C147" s="1" t="str">
        <x:v>J12-U018</x:v>
      </x:c>
      <x:c r="D147" s="1" t="str">
        <x:v>U018</x:v>
      </x:c>
      <x:c r="E147" s="23" t="n">
        <x:v>85</x:v>
      </x:c>
      <x:c r="F147" s="23" t="n">
        <x:v>1.1</x:v>
      </x:c>
      <x:c r="G147" s="1" t="n">
        <x:v>63</x:v>
      </x:c>
      <x:c r="H147" s="1" t="n">
        <x:v>0</x:v>
      </x:c>
      <x:c r="I147" s="25" t="n">
        <x:f>E147*F147*G147/100*H147</x:f>
        <x:v>0</x:v>
      </x:c>
      <x:c r="J147" s="15"/>
      <x:c r="K147" s="17" t="n">
        <x:f>'项目计算'!R40</x:f>
        <x:v>4365</x:v>
      </x:c>
      <x:c r="L147" s="1" t="n">
        <x:v>0</x:v>
      </x:c>
      <x:c r="M147" s="15" t="n">
        <x:f>K147-SUMIFS($J$5:$J$148,$A$5:$A$148,A147,$B$5:$B$148,B147)</x:f>
        <x:v>4365</x:v>
      </x:c>
      <x:c r="N147" s="27" t="n">
        <x:f>SUMIFS($I$5:$I$148,$A$5:$A$148,A147,$B$5:$B$148,B147,$L$5:$L$148,0)</x:f>
        <x:v>260.29449999999997</x:v>
      </x:c>
      <x:c r="O147" s="27" t="n">
        <x:f>IF(L147=1,J147*100,IF(N147=0,0,M147*100*I147/N147))</x:f>
        <x:v>0</x:v>
      </x:c>
      <x:c r="P147" s="27" t="n">
        <x:f>ROUNDDOWN(O147,0)</x:f>
        <x:v>0</x:v>
      </x:c>
      <x:c r="Q147" s="27" t="n">
        <x:f>ROUND(O147-P147,10)</x:f>
        <x:v>0</x:v>
      </x:c>
      <x:c r="R147" s="1" t="n">
        <x:f>IF(L147=1,0,COUNTIFS($A$5:$A$148,A147,$B$5:$B$148,B147,$L$5:$L$148,0,$Q$5:$Q$148,"&gt;"&amp;Q147)+COUNTIFS($A$5:$A$148,A147,$B$5:$B$148,B147,$L$5:$L$148,0,$Q$5:$Q$148,Q147,$C$5:$C$148,"&lt;"&amp;C147)+1)</x:f>
        <x:v>4</x:v>
      </x:c>
      <x:c r="S147" s="1" t="n">
        <x:f>ROUND(M147*100-SUMIFS($P$5:$P$148,$A$5:$A$148,A147,$B$5:$B$148,B147,$L$5:$L$148,0),0)</x:f>
        <x:v>2</x:v>
      </x:c>
      <x:c r="T147" s="15" t="n">
        <x:f>IF(L147=1,J147,(P147+IF(R147&lt;=S147,1,0))/100)</x:f>
        <x:v>0</x:v>
      </x:c>
      <x:c r="U147" s="29" t="n">
        <x:f>'项目计算'!S40</x:f>
        <x:v>0.2</x:v>
      </x:c>
      <x:c r="V147" s="15" t="n">
        <x:f>ROUND(T147*(1-U147),2)</x:f>
        <x:v>0</x:v>
      </x:c>
      <x:c r="W147" s="15" t="n">
        <x:f>T147-V147</x:f>
        <x:v>0</x:v>
      </x:c>
    </x:row>
    <x:row r="148" ht="22" customHeight="1">
      <x:c r="A148" s="10" t="str">
        <x:v>V3</x:v>
      </x:c>
      <x:c r="B148" s="10" t="str">
        <x:v>J12</x:v>
      </x:c>
      <x:c r="C148" s="10" t="str">
        <x:v>J12-U001</x:v>
      </x:c>
      <x:c r="D148" s="10" t="str">
        <x:v>U001</x:v>
      </x:c>
      <x:c r="E148" s="24" t="n">
        <x:v>82.5</x:v>
      </x:c>
      <x:c r="F148" s="24" t="n">
        <x:v>0.9</x:v>
      </x:c>
      <x:c r="G148" s="10" t="n">
        <x:v>95</x:v>
      </x:c>
      <x:c r="H148" s="10" t="n">
        <x:v>1</x:v>
      </x:c>
      <x:c r="I148" s="26" t="n">
        <x:f>E148*F148*G148/100*H148</x:f>
        <x:v>70.5375</x:v>
      </x:c>
      <x:c r="J148" s="16"/>
      <x:c r="K148" s="18" t="n">
        <x:f>'项目计算'!R40</x:f>
        <x:v>4365</x:v>
      </x:c>
      <x:c r="L148" s="10" t="n">
        <x:v>0</x:v>
      </x:c>
      <x:c r="M148" s="16" t="n">
        <x:f>K148-SUMIFS($J$5:$J$148,$A$5:$A$148,A148,$B$5:$B$148,B148)</x:f>
        <x:v>4365</x:v>
      </x:c>
      <x:c r="N148" s="28" t="n">
        <x:f>SUMIFS($I$5:$I$148,$A$5:$A$148,A148,$B$5:$B$148,B148,$L$5:$L$148,0)</x:f>
        <x:v>260.29449999999997</x:v>
      </x:c>
      <x:c r="O148" s="28" t="n">
        <x:f>IF(L148=1,J148*100,IF(N148=0,0,M148*100*I148/N148))</x:f>
        <x:v>118287.62709162122</x:v>
      </x:c>
      <x:c r="P148" s="28" t="n">
        <x:f>ROUNDDOWN(O148,0)</x:f>
        <x:v>118287</x:v>
      </x:c>
      <x:c r="Q148" s="28" t="n">
        <x:f>ROUND(O148-P148,10)</x:f>
        <x:v>0.6270916212</x:v>
      </x:c>
      <x:c r="R148" s="10" t="n">
        <x:f>IF(L148=1,0,COUNTIFS($A$5:$A$148,A148,$B$5:$B$148,B148,$L$5:$L$148,0,$Q$5:$Q$148,"&gt;"&amp;Q148)+COUNTIFS($A$5:$A$148,A148,$B$5:$B$148,B148,$L$5:$L$148,0,$Q$5:$Q$148,Q148,$C$5:$C$148,"&lt;"&amp;C148)+1)</x:f>
        <x:v>2</x:v>
      </x:c>
      <x:c r="S148" s="10" t="n">
        <x:f>ROUND(M148*100-SUMIFS($P$5:$P$148,$A$5:$A$148,A148,$B$5:$B$148,B148,$L$5:$L$148,0),0)</x:f>
        <x:v>2</x:v>
      </x:c>
      <x:c r="T148" s="16" t="n">
        <x:f>IF(L148=1,J148,(P148+IF(R148&lt;=S148,1,0))/100)</x:f>
        <x:v>1182.88</x:v>
      </x:c>
      <x:c r="U148" s="30" t="n">
        <x:f>'项目计算'!S40</x:f>
        <x:v>0.2</x:v>
      </x:c>
      <x:c r="V148" s="16" t="n">
        <x:f>ROUND(T148*(1-U148),2)</x:f>
        <x:v>946.3</x:v>
      </x:c>
      <x:c r="W148" s="16" t="n">
        <x:f>T148-V148</x:f>
        <x:v>236.58000000000015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18" hidden="0" customWidth="1"/>
    <x:col min="4" max="4" width="68" hidden="0" customWidth="1"/>
  </x:cols>
  <x:sheetData>
    <x:row r="1" ht="32" customHeight="1">
      <x:c r="A1" s="3" t="str">
        <x:v>固定验收参数</x:v>
      </x:c>
      <x:c r="B1" s="3"/>
      <x:c r="C1" s="3"/>
      <x:c r="D1" s="3"/>
    </x:row>
    <x:row r="2" ht="34" customHeight="1">
      <x:c r="A2" s="5" t="str">
        <x:v>来源：01_交付奖金规则.md、02_首轮业务数据.xlsx。迟延日扣减及下限以项目计算各版本快照为准。</x:v>
      </x:c>
      <x:c r="B2" s="5"/>
      <x:c r="C2" s="5"/>
      <x:c r="D2" s="5"/>
    </x:row>
    <x:row r="3">
      <x:c r="A3" s="1"/>
      <x:c r="B3" s="1"/>
      <x:c r="C3" s="1"/>
      <x:c r="D3" s="1"/>
    </x:row>
    <x:row r="4" ht="34" customHeight="1">
      <x:c r="A4" s="9" t="str">
        <x:v>参数</x:v>
      </x:c>
      <x:c r="B4" s="9" t="str">
        <x:v>取值</x:v>
      </x:c>
      <x:c r="C4" s="9" t="str">
        <x:v>单位</x:v>
      </x:c>
      <x:c r="D4" s="9" t="str">
        <x:v>说明</x:v>
      </x:c>
    </x:row>
    <x:row r="5" ht="22" customHeight="1">
      <x:c r="A5" s="1" t="str">
        <x:v>period_start</x:v>
      </x:c>
      <x:c r="B5" s="11" t="str">
        <x:v>2026-07-01</x:v>
      </x:c>
      <x:c r="C5" s="1" t="str">
        <x:v>日期</x:v>
      </x:c>
      <x:c r="D5" s="1" t="str">
        <x:v>验收和工时开始日，含当天</x:v>
      </x:c>
    </x:row>
    <x:row r="6" ht="22" customHeight="1">
      <x:c r="A6" s="10" t="str">
        <x:v>cutoff</x:v>
      </x:c>
      <x:c r="B6" s="12" t="str">
        <x:v>2026-12-31</x:v>
      </x:c>
      <x:c r="C6" s="10" t="str">
        <x:v>日期</x:v>
      </x:c>
      <x:c r="D6" s="10" t="str">
        <x:v>验收、回款、费用及工时截止日，含当天</x:v>
      </x:c>
    </x:row>
    <x:row r="7" ht="22" customHeight="1">
      <x:c r="A7" s="1" t="str">
        <x:v>tier1_limit</x:v>
      </x:c>
      <x:c r="B7" s="11" t="n">
        <x:v>100000</x:v>
      </x:c>
      <x:c r="C7" s="1" t="str">
        <x:v>元</x:v>
      </x:c>
      <x:c r="D7" s="1" t="str">
        <x:v>贡献毛利第一段上限</x:v>
      </x:c>
    </x:row>
    <x:row r="8" ht="22" customHeight="1">
      <x:c r="A8" s="10" t="str">
        <x:v>tier2_limit</x:v>
      </x:c>
      <x:c r="B8" s="12" t="n">
        <x:v>300000</x:v>
      </x:c>
      <x:c r="C8" s="10" t="str">
        <x:v>元</x:v>
      </x:c>
      <x:c r="D8" s="10" t="str">
        <x:v>贡献毛利第二段上限</x:v>
      </x:c>
    </x:row>
    <x:row r="9" ht="22" customHeight="1">
      <x:c r="A9" s="1" t="str">
        <x:v>tier1_rate</x:v>
      </x:c>
      <x:c r="B9" s="11" t="n">
        <x:v>0.05</x:v>
      </x:c>
      <x:c r="C9" s="1" t="str">
        <x:v>比例</x:v>
      </x:c>
      <x:c r="D9" s="1" t="str">
        <x:v>第一段计提率</x:v>
      </x:c>
    </x:row>
    <x:row r="10" ht="22" customHeight="1">
      <x:c r="A10" s="10" t="str">
        <x:v>tier2_rate</x:v>
      </x:c>
      <x:c r="B10" s="12" t="n">
        <x:v>0.08</x:v>
      </x:c>
      <x:c r="C10" s="10" t="str">
        <x:v>比例</x:v>
      </x:c>
      <x:c r="D10" s="10" t="str">
        <x:v>第二段计提率</x:v>
      </x:c>
    </x:row>
    <x:row r="11" ht="22" customHeight="1">
      <x:c r="A11" s="1" t="str">
        <x:v>tier3_rate</x:v>
      </x:c>
      <x:c r="B11" s="11" t="n">
        <x:v>0.1</x:v>
      </x:c>
      <x:c r="C11" s="1" t="str">
        <x:v>比例</x:v>
      </x:c>
      <x:c r="D11" s="1" t="str">
        <x:v>第三段计提率</x:v>
      </x:c>
    </x:row>
    <x:row r="12" ht="22" customHeight="1">
      <x:c r="A12" s="10" t="str">
        <x:v>grade_优</x:v>
      </x:c>
      <x:c r="B12" s="12" t="n">
        <x:v>1.15</x:v>
      </x:c>
      <x:c r="C12" s="10" t="str">
        <x:v>系数</x:v>
      </x:c>
      <x:c r="D12" s="10" t="str">
        <x:v>优等级</x:v>
      </x:c>
    </x:row>
    <x:row r="13" ht="22" customHeight="1">
      <x:c r="A13" s="1" t="str">
        <x:v>grade_合格</x:v>
      </x:c>
      <x:c r="B13" s="11" t="n">
        <x:v>1</x:v>
      </x:c>
      <x:c r="C13" s="1" t="str">
        <x:v>系数</x:v>
      </x:c>
      <x:c r="D13" s="1" t="str">
        <x:v>合格等级</x:v>
      </x:c>
    </x:row>
    <x:row r="14" ht="22" customHeight="1">
      <x:c r="A14" s="10" t="str">
        <x:v>grade_待改进</x:v>
      </x:c>
      <x:c r="B14" s="12" t="n">
        <x:v>0.8</x:v>
      </x:c>
      <x:c r="C14" s="10" t="str">
        <x:v>系数</x:v>
      </x:c>
      <x:c r="D14" s="10" t="str">
        <x:v>待改进等级</x:v>
      </x:c>
    </x:row>
    <x:row r="15" ht="22" customHeight="1">
      <x:c r="A15" s="1" t="str">
        <x:v>role_项目经理</x:v>
      </x:c>
      <x:c r="B15" s="11" t="n">
        <x:v>1.2</x:v>
      </x:c>
      <x:c r="C15" s="1" t="str">
        <x:v>系数</x:v>
      </x:c>
      <x:c r="D15" s="1" t="str">
        <x:v>角色系数</x:v>
      </x:c>
    </x:row>
    <x:row r="16" ht="22" customHeight="1">
      <x:c r="A16" s="10" t="str">
        <x:v>role_实施工程师</x:v>
      </x:c>
      <x:c r="B16" s="12" t="n">
        <x:v>1</x:v>
      </x:c>
      <x:c r="C16" s="10" t="str">
        <x:v>系数</x:v>
      </x:c>
      <x:c r="D16" s="10" t="str">
        <x:v>角色系数</x:v>
      </x:c>
    </x:row>
    <x:row r="17" ht="22" customHeight="1">
      <x:c r="A17" s="1" t="str">
        <x:v>role_顾问</x:v>
      </x:c>
      <x:c r="B17" s="11" t="n">
        <x:v>1.1</x:v>
      </x:c>
      <x:c r="C17" s="1" t="str">
        <x:v>系数</x:v>
      </x:c>
      <x:c r="D17" s="1" t="str">
        <x:v>角色系数</x:v>
      </x:c>
    </x:row>
    <x:row r="18" ht="22" customHeight="1">
      <x:c r="A18" s="10" t="str">
        <x:v>role_质量工程师</x:v>
      </x:c>
      <x:c r="B18" s="12" t="n">
        <x:v>0.9</x:v>
      </x:c>
      <x:c r="C18" s="10" t="str">
        <x:v>系数</x:v>
      </x:c>
      <x:c r="D18" s="10" t="str">
        <x:v>角色系数</x:v>
      </x:c>
    </x:row>
    <x:row r="19" ht="22" customHeight="1">
      <x:c r="A19" s="1" t="str">
        <x:v>delay_daily</x:v>
      </x:c>
      <x:c r="B19" s="11" t="n">
        <x:v>0.02</x:v>
      </x:c>
      <x:c r="C19" s="1" t="str">
        <x:v>比例/天</x:v>
      </x:c>
      <x:c r="D19" s="1" t="str">
        <x:v>首轮迟延扣减率</x:v>
      </x:c>
    </x:row>
    <x:row r="20" ht="22" customHeight="1">
      <x:c r="A20" s="10" t="str">
        <x:v>delay_floor</x:v>
      </x:c>
      <x:c r="B20" s="12" t="n">
        <x:v>0.7</x:v>
      </x:c>
      <x:c r="C20" s="10" t="str">
        <x:v>系数</x:v>
      </x:c>
      <x:c r="D20" s="10" t="str">
        <x:v>首轮迟延系数下限</x:v>
      </x:c>
    </x:row>
    <x:row r="21" ht="22" customHeight="1">
      <x:c r="A21" s="1" t="str">
        <x:v>pool_cap</x:v>
      </x:c>
      <x:c r="B21" s="11" t="n">
        <x:v>0.04</x:v>
      </x:c>
      <x:c r="C21" s="1" t="str">
        <x:v>比例</x:v>
      </x:c>
      <x:c r="D21" s="1" t="str">
        <x:v>合同额封顶比例</x:v>
      </x:c>
    </x:row>
    <x:row r="22" ht="22" customHeight="1">
      <x:c r="A22" s="10" t="str">
        <x:v>retention</x:v>
      </x:c>
      <x:c r="B22" s="12" t="n">
        <x:v>0.2</x:v>
      </x:c>
      <x:c r="C22" s="10" t="str">
        <x:v>比例</x:v>
      </x:c>
      <x:c r="D22" s="10" t="str">
        <x:v>未完成质保回访的暂缓比例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3" hidden="0" customWidth="1"/>
    <x:col min="3" max="3" width="68" hidden="0" customWidth="1"/>
    <x:col min="4" max="4" width="24" hidden="0" customWidth="1"/>
  </x:cols>
  <x:sheetData>
    <x:row r="1" ht="32" customHeight="1">
      <x:c r="A1" s="3" t="str">
        <x:v>边界与异常验收</x:v>
      </x:c>
      <x:c r="B1" s="3"/>
      <x:c r="C1" s="3"/>
      <x:c r="D1" s="3"/>
    </x:row>
    <x:row r="2" ht="34" customHeight="1">
      <x:c r="A2" s="5" t="str">
        <x:v>正常数据与异常变体分开。异常项需单独构造，不能混入标准批次。</x:v>
      </x:c>
      <x:c r="B2" s="5"/>
      <x:c r="C2" s="5"/>
      <x:c r="D2" s="5"/>
    </x:row>
    <x:row r="3">
      <x:c r="A3" s="1"/>
      <x:c r="B3" s="1"/>
      <x:c r="C3" s="1"/>
      <x:c r="D3" s="1"/>
    </x:row>
    <x:row r="4" ht="34" customHeight="1">
      <x:c r="A4" s="9" t="str">
        <x:v>用例</x:v>
      </x:c>
      <x:c r="B4" s="9" t="str">
        <x:v>触发条件</x:v>
      </x:c>
      <x:c r="C4" s="9" t="str">
        <x:v>预期行为</x:v>
      </x:c>
      <x:c r="D4" s="9" t="str">
        <x:v>测试方式</x:v>
      </x:c>
    </x:row>
    <x:row r="5" ht="31" customHeight="1">
      <x:c r="A5" s="1" t="str">
        <x:v>T01</x:v>
      </x:c>
      <x:c r="B5" s="1" t="str">
        <x:v>贡献毛利0</x:v>
      </x:c>
      <x:c r="C5" s="1" t="str">
        <x:v>分段计提0元；J04为0包</x:v>
      </x:c>
      <x:c r="D5" s="1" t="str">
        <x:v>正常输入覆盖</x:v>
      </x:c>
    </x:row>
    <x:row r="6" ht="31" customHeight="1">
      <x:c r="A6" s="10" t="str">
        <x:v>T02</x:v>
      </x:c>
      <x:c r="B6" s="10" t="str">
        <x:v>贡献毛利100000</x:v>
      </x:c>
      <x:c r="C6" s="10" t="str">
        <x:v>分段计提5000.00元；J01 V1</x:v>
      </x:c>
      <x:c r="D6" s="10" t="str">
        <x:v>正常输入覆盖</x:v>
      </x:c>
    </x:row>
    <x:row r="7" ht="31" customHeight="1">
      <x:c r="A7" s="1" t="str">
        <x:v>T03</x:v>
      </x:c>
      <x:c r="B7" s="1" t="str">
        <x:v>贡献毛利300000</x:v>
      </x:c>
      <x:c r="C7" s="1" t="str">
        <x:v>分段计提21000.00元；J02 V1</x:v>
      </x:c>
      <x:c r="D7" s="1" t="str">
        <x:v>正常输入覆盖</x:v>
      </x:c>
    </x:row>
    <x:row r="8" ht="31" customHeight="1">
      <x:c r="A8" s="10" t="str">
        <x:v>T04</x:v>
      </x:c>
      <x:c r="B8" s="10" t="str">
        <x:v>合同额4%封顶</x:v>
      </x:c>
      <x:c r="C8" s="10" t="str">
        <x:v>J10奖金包8000.00元</x:v>
      </x:c>
      <x:c r="D8" s="10" t="str">
        <x:v>正常输入覆盖</x:v>
      </x:c>
    </x:row>
    <x:row r="9" ht="31" customHeight="1">
      <x:c r="A9" s="1" t="str">
        <x:v>T05</x:v>
      </x:c>
      <x:c r="B9" s="1" t="str">
        <x:v>未批准验收</x:v>
      </x:c>
      <x:c r="C9" s="1" t="str">
        <x:v>J05所有版本0元；J09 V1为0</x:v>
      </x:c>
      <x:c r="D9" s="1" t="str">
        <x:v>正常输入覆盖</x:v>
      </x:c>
    </x:row>
    <x:row r="10" ht="31" customHeight="1">
      <x:c r="A10" s="10" t="str">
        <x:v>T06</x:v>
      </x:c>
      <x:c r="B10" s="10" t="str">
        <x:v>期前与期后验收</x:v>
      </x:c>
      <x:c r="C10" s="10" t="str">
        <x:v>J06、J11所有版本0元</x:v>
      </x:c>
      <x:c r="D10" s="10" t="str">
        <x:v>正常输入覆盖</x:v>
      </x:c>
    </x:row>
    <x:row r="11" ht="31" customHeight="1">
      <x:c r="A11" s="1" t="str">
        <x:v>T07</x:v>
      </x:c>
      <x:c r="B11" s="1" t="str">
        <x:v>未来和未审批流水</x:v>
      </x:c>
      <x:c r="C11" s="1" t="str">
        <x:v>不计入，补充SC06和SC07也不计入</x:v>
      </x:c>
      <x:c r="D11" s="1" t="str">
        <x:v>正常输入覆盖</x:v>
      </x:c>
    </x:row>
    <x:row r="12" ht="31" customHeight="1">
      <x:c r="A12" s="10" t="str">
        <x:v>T08</x:v>
      </x:c>
      <x:c r="B12" s="10" t="str">
        <x:v>退款、费用冲销</x:v>
      </x:c>
      <x:c r="C12" s="10" t="str">
        <x:v>负流水保留；费用按各自单位换算</x:v>
      </x:c>
      <x:c r="D12" s="10" t="str">
        <x:v>正常输入覆盖</x:v>
      </x:c>
    </x:row>
    <x:row r="13" ht="31" customHeight="1">
      <x:c r="A13" s="1" t="str">
        <x:v>T09</x:v>
      </x:c>
      <x:c r="B13" s="1" t="str">
        <x:v>实习、不参与、零贡献</x:v>
      </x:c>
      <x:c r="C13" s="1" t="str">
        <x:v>对应参与记录权重与应得均为0</x:v>
      </x:c>
      <x:c r="D13" s="1" t="str">
        <x:v>正常输入覆盖</x:v>
      </x:c>
    </x:row>
    <x:row r="14" ht="31" customHeight="1">
      <x:c r="A14" s="10" t="str">
        <x:v>T10</x:v>
      </x:c>
      <x:c r="B14" s="10" t="str">
        <x:v>质保回访解除</x:v>
      </x:c>
      <x:c r="C14" s="10" t="str">
        <x:v>J08 V2/V3暂缓为0</x:v>
      </x:c>
      <x:c r="D14" s="10" t="str">
        <x:v>正常输入覆盖</x:v>
      </x:c>
    </x:row>
    <x:row r="15" ht="31" customHeight="1">
      <x:c r="A15" s="1" t="str">
        <x:v>T11</x:v>
      </x:c>
      <x:c r="B15" s="1" t="str">
        <x:v>预发超过可发上限</x:v>
      </x:c>
      <x:c r="C15" s="1" t="str">
        <x:v>U001产生超发待核对，不自动追回</x:v>
      </x:c>
      <x:c r="D15" s="1" t="str">
        <x:v>正常输入覆盖</x:v>
      </x:c>
    </x:row>
    <x:row r="16" ht="31" customHeight="1">
      <x:c r="A16" s="10" t="str">
        <x:v>T12</x:v>
      </x:c>
      <x:c r="B16" s="10" t="str">
        <x:v>V3指定金额</x:v>
      </x:c>
      <x:c r="C16" s="10" t="str">
        <x:v>J01-U002为6000；J03-U008为12000</x:v>
      </x:c>
      <x:c r="D16" s="10" t="str">
        <x:v>正常输入覆盖</x:v>
      </x:c>
    </x:row>
    <x:row r="17" ht="31" customHeight="1">
      <x:c r="A17" s="1" t="str">
        <x:v>T13</x:v>
      </x:c>
      <x:c r="B17" s="1" t="str">
        <x:v>0.01元，三人等权</x:v>
      </x:c>
      <x:c r="C17" s="1" t="str">
        <x:v>按参与编号升序首人0.01，其余0</x:v>
      </x:c>
      <x:c r="D17" s="1" t="str">
        <x:v>参考脚本断言</x:v>
      </x:c>
    </x:row>
    <x:row r="18" ht="31" customHeight="1">
      <x:c r="A18" s="10" t="str">
        <x:v>T14</x:v>
      </x:c>
      <x:c r="B18" s="10" t="str">
        <x:v>锁定合计超过总包</x:v>
      </x:c>
      <x:c r="C18" s="10" t="str">
        <x:v>阻断计算，不生成正式结果</x:v>
      </x:c>
      <x:c r="D18" s="10" t="str">
        <x:v>独立异常变体</x:v>
      </x:c>
    </x:row>
    <x:row r="19" ht="31" customHeight="1">
      <x:c r="A19" s="1" t="str">
        <x:v>T15</x:v>
      </x:c>
      <x:c r="B19" s="1" t="str">
        <x:v>人员或单据主键重复</x:v>
      </x:c>
      <x:c r="C19" s="1" t="str">
        <x:v>阻断计算，禁止选第一行</x:v>
      </x:c>
      <x:c r="D19" s="1" t="str">
        <x:v>独立异常变体</x:v>
      </x:c>
    </x:row>
    <x:row r="20" ht="31" customHeight="1">
      <x:c r="A20" s="10" t="str">
        <x:v>T16</x:v>
      </x:c>
      <x:c r="B20" s="10" t="str">
        <x:v>正奖金包但全员权重0</x:v>
      </x:c>
      <x:c r="C20" s="10" t="str">
        <x:v>阻断计算，不得丢失奖金</x:v>
      </x:c>
      <x:c r="D20" s="10" t="str">
        <x:v>独立异常变体</x:v>
      </x:c>
    </x:row>
    <x:row r="21" ht="31" customHeight="1">
      <x:c r="A21" s="1" t="str">
        <x:v>T17</x:v>
      </x:c>
      <x:c r="B21" s="1" t="str">
        <x:v>同值项目更正、补充重传</x:v>
      </x:c>
      <x:c r="C21" s="1" t="str">
        <x:v>同值更新不变；流水按单号幂等合并</x:v>
      </x:c>
      <x:c r="D21" s="1" t="str">
        <x:v>重复提交测试</x:v>
      </x:c>
    </x:row>
    <x:row r="22" ht="31" customHeight="1">
      <x:c r="A22" s="10" t="str">
        <x:v>T18</x:v>
      </x:c>
      <x:c r="B22" s="10" t="str">
        <x:v>贡献分缺失或超100</x:v>
      </x:c>
      <x:c r="C22" s="10" t="str">
        <x:v>阻断并定位到参与编号</x:v>
      </x:c>
      <x:c r="D22" s="10" t="str">
        <x:v>独立异常变体</x:v>
      </x:c>
    </x:row>
  </x:sheetData>
  <x:mergeCells>
    <x:mergeCell ref="A1:D1"/>
    <x:mergeCell ref="A2:D2"/>
  </x:mergeCells>
  <x:pageMargins left="0.7" right="0.7" top="0.75" bottom="0.75" header="0.3" footer="0.3"/>
</x:worksheet>
</file>