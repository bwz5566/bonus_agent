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072aca606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结果" sheetId="1" r:id="R4e6bde1c847144f7"/>
    <x:sheet xmlns:r="http://schemas.openxmlformats.org/officeDocument/2006/relationships" name="员工计算" sheetId="2" r:id="R2e12be477e054bd7"/>
    <x:sheet xmlns:r="http://schemas.openxmlformats.org/officeDocument/2006/relationships" name="工单计算" sheetId="3" r:id="R29c15abedae54f24"/>
    <x:sheet xmlns:r="http://schemas.openxmlformats.org/officeDocument/2006/relationships" name="质检计算" sheetId="4" r:id="R9dbe2861c19045e8"/>
    <x:sheet xmlns:r="http://schemas.openxmlformats.org/officeDocument/2006/relationships" name="制度参数" sheetId="5" r:id="R972b2fead39f48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#,##0.00;(#,##0.00);0.00"/>
    <x:numFmt numFmtId="203" formatCode="0.000000"/>
    <x:numFmt numFmtId="204" formatCode="0.0"/>
  </x:numFmts>
  <x:fonts count="10">
    <x:font>
      <x:sz val="11"/>
      <x:name val="Carlito"/>
    </x:font>
    <x:font>
      <x:sz val="10"/>
      <x:color rgb="FF243247"/>
      <x:name val="Noto Sans CJK SC"/>
    </x:font>
    <x:font>
      <x:b/>
      <x:sz val="14"/>
      <x:color rgb="FF243247"/>
      <x:name val="Noto Sans CJK SC"/>
    </x:font>
    <x:font>
      <x:i/>
      <x:sz val="10"/>
      <x:color rgb="FF667286"/>
      <x:name val="Noto Sans CJK SC"/>
    </x:font>
    <x:font>
      <x:b/>
      <x:sz val="10"/>
      <x:color rgb="FFFFFFFF"/>
      <x:name val="Noto Sans CJK SC"/>
    </x:font>
    <x:font>
      <x:sz val="10"/>
      <x:color rgb="FF1D50A2"/>
      <x:name val="Noto Sans CJK SC"/>
    </x:font>
    <x:font>
      <x:b/>
      <x:sz val="11"/>
      <x:color rgb="FF243247"/>
      <x:name val="Carlito"/>
    </x:font>
    <x:font>
      <x:sz val="11"/>
      <x:color rgb="FF667286"/>
      <x:name val="Carlito"/>
    </x:font>
    <x:font>
      <x:sz val="10"/>
      <x:color rgb="FF217346"/>
      <x:name val="Noto Sans CJK SC"/>
    </x:font>
    <x:font>
      <x:sz val="11"/>
      <x:color rgb="FF2432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3445F"/>
      </x:patternFill>
    </x:fill>
    <x:fill>
      <x:patternFill patternType="solid">
        <x:fgColor rgb="FFF2F4F8"/>
      </x:patternFill>
    </x:fill>
    <x:fill>
      <x:patternFill patternType="solid">
        <x:fgColor rgb="FFFFFFFF"/>
      </x:patternFill>
    </x:fill>
    <x:fill>
      <x:patternFill patternType="solid">
        <x:fgColor rgb="FFE8ED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200" fontId="5" fillId="0" borderId="0" xfId="0" applyNumberFormat="1" applyFont="1" applyFill="1" applyBorder="1"/>
    <x:xf numFmtId="200" fontId="5" fillId="3" borderId="0" xfId="0" applyNumberFormat="1" applyFont="1" applyFill="1" applyBorder="1"/>
    <x:xf numFmtId="201" fontId="5" fillId="0" borderId="0" xfId="0" applyNumberFormat="1" applyFont="1" applyFill="1" applyBorder="1"/>
    <x:xf numFmtId="201" fontId="5" fillId="3" borderId="0" xfId="0" applyNumberFormat="1" applyFont="1" applyFill="1" applyBorder="1"/>
    <x:xf numFmtId="202" fontId="5" fillId="0" borderId="0" xfId="0" applyNumberFormat="1" applyFont="1" applyFill="1" applyBorder="1"/>
    <x:xf numFmtId="202" fontId="5" fillId="3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0" fillId="0" borderId="0" xfId="0" applyNumberFormat="1" applyFont="1" applyFill="1" applyBorder="1"/>
    <x:xf numFmtId="202" fontId="6" fillId="5" borderId="0" xfId="0" applyNumberFormat="1" applyFont="1" applyFill="1" applyBorder="1"/>
    <x:xf numFmtId="203" fontId="1" fillId="0" borderId="0" xfId="0" applyNumberFormat="1" applyFont="1" applyFill="1" applyBorder="1"/>
    <x:xf numFmtId="203" fontId="1" fillId="3" borderId="0" xfId="0" applyNumberFormat="1" applyFont="1" applyFill="1" applyBorder="1"/>
    <x:xf numFmtId="204" fontId="1" fillId="0" borderId="0" xfId="0" applyNumberFormat="1" applyFont="1" applyFill="1" applyBorder="1"/>
    <x:xf numFmtId="204" fontId="1" fillId="3" borderId="0" xfId="0" applyNumberFormat="1" applyFont="1" applyFill="1" applyBorder="1"/>
    <x:xf numFmtId="201" fontId="8" fillId="0" borderId="0" xfId="0" applyNumberFormat="1" applyFont="1" applyFill="1" applyBorder="1"/>
    <x:xf numFmtId="201" fontId="8" fillId="3" borderId="0" xfId="0" applyNumberFormat="1" applyFont="1" applyFill="1" applyBorder="1"/>
    <x:xf numFmtId="202" fontId="8" fillId="0" borderId="0" xfId="0" applyNumberFormat="1" applyFont="1" applyFill="1" applyBorder="1"/>
    <x:xf numFmtId="202" fontId="8" fillId="3" borderId="0" xfId="0" applyNumberFormat="1" applyFont="1" applyFill="1" applyBorder="1"/>
    <x:xf numFmtId="0" fontId="8" fillId="0" borderId="0" xfId="0" applyNumberFormat="1" applyFont="1" applyFill="1" applyBorder="1"/>
    <x:xf numFmtId="0" fontId="8" fillId="3" borderId="0" xfId="0" applyNumberFormat="1" applyFont="1" applyFill="1" applyBorder="1"/>
    <x:xf numFmtId="203" fontId="8" fillId="0" borderId="0" xfId="0" applyNumberFormat="1" applyFont="1" applyFill="1" applyBorder="1"/>
    <x:xf numFmtId="203" fontId="8" fillId="3" borderId="0" xfId="0" applyNumberFormat="1" applyFont="1" applyFill="1" applyBorder="1"/>
    <x:xf numFmtId="0" fontId="9" fillId="0" borderId="0" xfId="0" applyNumberFormat="1" applyFont="1" applyFill="1" applyBorder="1"/>
    <x:xf numFmtId="202" fontId="9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7ff035cd24179" /><Relationship Type="http://schemas.openxmlformats.org/officeDocument/2006/relationships/theme" Target="/xl/theme/theme1.xml" Id="Re1e397e5ab924d4e" /><Relationship Type="http://schemas.openxmlformats.org/officeDocument/2006/relationships/sharedStrings" Target="/xl/sharedStrings.xml" Id="R53c736ba84654dc2" /><Relationship Type="http://schemas.openxmlformats.org/officeDocument/2006/relationships/worksheet" Target="/xl/worksheets/sheet1.xml" Id="R4e6bde1c847144f7" /><Relationship Type="http://schemas.openxmlformats.org/officeDocument/2006/relationships/worksheet" Target="/xl/worksheets/sheet2.xml" Id="R2e12be477e054bd7" /><Relationship Type="http://schemas.openxmlformats.org/officeDocument/2006/relationships/worksheet" Target="/xl/worksheets/sheet3.xml" Id="R29c15abedae54f24" /><Relationship Type="http://schemas.openxmlformats.org/officeDocument/2006/relationships/worksheet" Target="/xl/worksheets/sheet4.xml" Id="R9dbe2861c19045e8" /><Relationship Type="http://schemas.openxmlformats.org/officeDocument/2006/relationships/worksheet" Target="/xl/worksheets/sheet5.xml" Id="R972b2fead39f48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6" hidden="0" customWidth="1"/>
    <x:col min="5" max="5" width="20" hidden="0" customWidth="1"/>
    <x:col min="6" max="6" width="20" hidden="0" customWidth="1"/>
    <x:col min="7" max="7" width="22" hidden="0" customWidth="1"/>
    <x:col min="8" max="8" width="17" hidden="0" customWidth="1"/>
    <x:col min="9" max="9" width="20" hidden="0" customWidth="1"/>
    <x:col min="10" max="10" width="17" hidden="0" customWidth="1"/>
    <x:col min="11" max="11" width="20" hidden="0" customWidth="1"/>
    <x:col min="12" max="12" width="21" hidden="0" customWidth="1"/>
    <x:col min="13" max="13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8" customHeight="1">
      <x:c r="A2" s="2" t="str">
        <x:v>客服月度奖金最终期望结果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2" customHeight="1">
      <x:c r="A3" s="3" t="str">
        <x:v>2026年9月；人民币元、税前。按工号逐人核对；本表仅供验收，不作为智能体输入。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4" customHeight="1">
      <x:c r="A4" s="8" t="str">
        <x:v>工号</x:v>
      </x:c>
      <x:c r="B4" s="8" t="str">
        <x:v>姓名</x:v>
      </x:c>
      <x:c r="C4" s="8" t="str">
        <x:v>岗位</x:v>
      </x:c>
      <x:c r="D4" s="8" t="str">
        <x:v>有效单量</x:v>
      </x:c>
      <x:c r="E4" s="8" t="str">
        <x:v>出勤保障奖</x:v>
      </x:c>
      <x:c r="F4" s="8" t="str">
        <x:v>工单奖</x:v>
      </x:c>
      <x:c r="G4" s="8" t="str">
        <x:v>平均质量分</x:v>
      </x:c>
      <x:c r="H4" s="8" t="str">
        <x:v>质量系数</x:v>
      </x:c>
      <x:c r="I4" s="8" t="str">
        <x:v>差错扣减</x:v>
      </x:c>
      <x:c r="J4" s="8" t="str">
        <x:v>用工系数</x:v>
      </x:c>
      <x:c r="K4" s="8" t="str">
        <x:v>岗位上限</x:v>
      </x:c>
      <x:c r="L4" s="8" t="str">
        <x:v>最终应发</x:v>
      </x:c>
      <x:c r="M4" s="8" t="str">
        <x:v>结果说明</x:v>
      </x:c>
    </x:row>
    <x:row r="5" ht="24" customHeight="1">
      <x:c r="A5" s="1" t="str">
        <x:f>'员工计算'!A5</x:f>
        <x:v>CS101</x:v>
      </x:c>
      <x:c r="B5" s="1" t="str">
        <x:f>'员工计算'!B5</x:f>
        <x:v>模拟客服01</x:v>
      </x:c>
      <x:c r="C5" s="1" t="str">
        <x:f>'员工计算'!C5</x:f>
        <x:v>在线客服</x:v>
      </x:c>
      <x:c r="D5" s="1" t="n">
        <x:f>'员工计算'!K5</x:f>
        <x:v>4</x:v>
      </x:c>
      <x:c r="E5" s="27" t="n">
        <x:f>'员工计算'!J5</x:f>
        <x:v>300</x:v>
      </x:c>
      <x:c r="F5" s="27" t="n">
        <x:f>'员工计算'!P5</x:f>
        <x:v>89.75</x:v>
      </x:c>
      <x:c r="G5" s="31" t="n">
        <x:f>'员工计算'!S5</x:f>
        <x:v>95</x:v>
      </x:c>
      <x:c r="H5" s="14" t="n">
        <x:f>'员工计算'!T5</x:f>
        <x:v>1.1</x:v>
      </x:c>
      <x:c r="I5" s="27" t="n">
        <x:f>'员工计算'!U5</x:f>
        <x:v>20</x:v>
      </x:c>
      <x:c r="J5" s="14" t="n">
        <x:f>'员工计算'!G5</x:f>
        <x:v>1</x:v>
      </x:c>
      <x:c r="K5" s="27" t="n">
        <x:f>'员工计算'!X5</x:f>
        <x:v>800</x:v>
      </x:c>
      <x:c r="L5" s="27" t="n">
        <x:f>'员工计算'!Y5</x:f>
        <x:v>378.73</x:v>
      </x:c>
      <x:c r="M5" s="1" t="str">
        <x:f>IF('员工计算'!G5=0,"用工性质不计奖",IF('员工计算'!F5=0,"计奖出勤为0",IF(L5=0,"扣减后归零",IF('员工计算'!W5&gt;='员工计算'!X5,"达到岗位上限","正常计奖"))))</x:f>
        <x:v>正常计奖</x:v>
      </x:c>
    </x:row>
    <x:row r="6" ht="24" customHeight="1">
      <x:c r="A6" s="9" t="str">
        <x:f>'员工计算'!A6</x:f>
        <x:v>CS102</x:v>
      </x:c>
      <x:c r="B6" s="9" t="str">
        <x:f>'员工计算'!B6</x:f>
        <x:v>模拟客服02</x:v>
      </x:c>
      <x:c r="C6" s="9" t="str">
        <x:f>'员工计算'!C6</x:f>
        <x:v>电话客服</x:v>
      </x:c>
      <x:c r="D6" s="9" t="n">
        <x:f>'员工计算'!K6</x:f>
        <x:v>5</x:v>
      </x:c>
      <x:c r="E6" s="28" t="n">
        <x:f>'员工计算'!J6</x:f>
        <x:v>327.27</x:v>
      </x:c>
      <x:c r="F6" s="28" t="n">
        <x:f>'员工计算'!P6</x:f>
        <x:v>116</x:v>
      </x:c>
      <x:c r="G6" s="32" t="n">
        <x:f>'员工计算'!S6</x:f>
        <x:v>85</x:v>
      </x:c>
      <x:c r="H6" s="15" t="n">
        <x:f>'员工计算'!T6</x:f>
        <x:v>1</x:v>
      </x:c>
      <x:c r="I6" s="28" t="n">
        <x:f>'员工计算'!U6</x:f>
        <x:v>20</x:v>
      </x:c>
      <x:c r="J6" s="15" t="n">
        <x:f>'员工计算'!G6</x:f>
        <x:v>1</x:v>
      </x:c>
      <x:c r="K6" s="28" t="n">
        <x:f>'员工计算'!X6</x:f>
        <x:v>1000</x:v>
      </x:c>
      <x:c r="L6" s="28" t="n">
        <x:f>'员工计算'!Y6</x:f>
        <x:v>423.27</x:v>
      </x:c>
      <x:c r="M6" s="9" t="str">
        <x:f>IF('员工计算'!G6=0,"用工性质不计奖",IF('员工计算'!F6=0,"计奖出勤为0",IF(L6=0,"扣减后归零",IF('员工计算'!W6&gt;='员工计算'!X6,"达到岗位上限","正常计奖"))))</x:f>
        <x:v>正常计奖</x:v>
      </x:c>
    </x:row>
    <x:row r="7" ht="24" customHeight="1">
      <x:c r="A7" s="1" t="str">
        <x:f>'员工计算'!A7</x:f>
        <x:v>CS103</x:v>
      </x:c>
      <x:c r="B7" s="1" t="str">
        <x:f>'员工计算'!B7</x:f>
        <x:v>模拟客服03</x:v>
      </x:c>
      <x:c r="C7" s="1" t="str">
        <x:f>'员工计算'!C7</x:f>
        <x:v>技术客服</x:v>
      </x:c>
      <x:c r="D7" s="1" t="n">
        <x:f>'员工计算'!K7</x:f>
        <x:v>6</x:v>
      </x:c>
      <x:c r="E7" s="27" t="n">
        <x:f>'员工计算'!J7</x:f>
        <x:v>488.64</x:v>
      </x:c>
      <x:c r="F7" s="27" t="n">
        <x:f>'员工计算'!P7</x:f>
        <x:v>160</x:v>
      </x:c>
      <x:c r="G7" s="31" t="n">
        <x:f>'员工计算'!S7</x:f>
        <x:v>75</x:v>
      </x:c>
      <x:c r="H7" s="14" t="n">
        <x:f>'员工计算'!T7</x:f>
        <x:v>0.8</x:v>
      </x:c>
      <x:c r="I7" s="27" t="n">
        <x:f>'员工计算'!U7</x:f>
        <x:v>120</x:v>
      </x:c>
      <x:c r="J7" s="14" t="n">
        <x:f>'员工计算'!G7</x:f>
        <x:v>0.6</x:v>
      </x:c>
      <x:c r="K7" s="27" t="n">
        <x:f>'员工计算'!X7</x:f>
        <x:v>1400</x:v>
      </x:c>
      <x:c r="L7" s="27" t="n">
        <x:f>'员工计算'!Y7</x:f>
        <x:v>297.98</x:v>
      </x:c>
      <x:c r="M7" s="1" t="str">
        <x:f>IF('员工计算'!G7=0,"用工性质不计奖",IF('员工计算'!F7=0,"计奖出勤为0",IF(L7=0,"扣减后归零",IF('员工计算'!W7&gt;='员工计算'!X7,"达到岗位上限","正常计奖"))))</x:f>
        <x:v>正常计奖</x:v>
      </x:c>
    </x:row>
    <x:row r="8" ht="24" customHeight="1">
      <x:c r="A8" s="9" t="str">
        <x:f>'员工计算'!A8</x:f>
        <x:v>CS104</x:v>
      </x:c>
      <x:c r="B8" s="9" t="str">
        <x:f>'员工计算'!B8</x:f>
        <x:v>模拟客服04</x:v>
      </x:c>
      <x:c r="C8" s="9" t="str">
        <x:f>'员工计算'!C8</x:f>
        <x:v>在线客服</x:v>
      </x:c>
      <x:c r="D8" s="9" t="n">
        <x:f>'员工计算'!K8</x:f>
        <x:v>9</x:v>
      </x:c>
      <x:c r="E8" s="28" t="n">
        <x:f>'员工计算'!J8</x:f>
        <x:v>300</x:v>
      </x:c>
      <x:c r="F8" s="28" t="n">
        <x:f>'员工计算'!P8</x:f>
        <x:v>256.75</x:v>
      </x:c>
      <x:c r="G8" s="32" t="n">
        <x:f>'员工计算'!S8</x:f>
        <x:v>74</x:v>
      </x:c>
      <x:c r="H8" s="15" t="n">
        <x:f>'员工计算'!T8</x:f>
        <x:v>0</x:v>
      </x:c>
      <x:c r="I8" s="28" t="n">
        <x:f>'员工计算'!U8</x:f>
        <x:v>300</x:v>
      </x:c>
      <x:c r="J8" s="15" t="n">
        <x:f>'员工计算'!G8</x:f>
        <x:v>1</x:v>
      </x:c>
      <x:c r="K8" s="28" t="n">
        <x:f>'员工计算'!X8</x:f>
        <x:v>800</x:v>
      </x:c>
      <x:c r="L8" s="28" t="n">
        <x:f>'员工计算'!Y8</x:f>
        <x:v>0</x:v>
      </x:c>
      <x:c r="M8" s="9" t="str">
        <x:f>IF('员工计算'!G8=0,"用工性质不计奖",IF('员工计算'!F8=0,"计奖出勤为0",IF(L8=0,"扣减后归零",IF('员工计算'!W8&gt;='员工计算'!X8,"达到岗位上限","正常计奖"))))</x:f>
        <x:v>扣减后归零</x:v>
      </x:c>
    </x:row>
    <x:row r="9" ht="24" customHeight="1">
      <x:c r="A9" s="1" t="str">
        <x:f>'员工计算'!A9</x:f>
        <x:v>CS105</x:v>
      </x:c>
      <x:c r="B9" s="1" t="str">
        <x:f>'员工计算'!B9</x:f>
        <x:v>模拟客服05</x:v>
      </x:c>
      <x:c r="C9" s="1" t="str">
        <x:f>'员工计算'!C9</x:f>
        <x:v>电话客服</x:v>
      </x:c>
      <x:c r="D9" s="1" t="n">
        <x:f>'员工计算'!K9</x:f>
        <x:v>10</x:v>
      </x:c>
      <x:c r="E9" s="27" t="n">
        <x:f>'员工计算'!J9</x:f>
        <x:v>294.55</x:v>
      </x:c>
      <x:c r="F9" s="27" t="n">
        <x:f>'员工计算'!P9</x:f>
        <x:v>339</x:v>
      </x:c>
      <x:c r="G9" s="31" t="n">
        <x:f>'员工计算'!S9</x:f>
        <x:v>94.66666666666667</x:v>
      </x:c>
      <x:c r="H9" s="14" t="n">
        <x:f>'员工计算'!T9</x:f>
        <x:v>1</x:v>
      </x:c>
      <x:c r="I9" s="27" t="n">
        <x:f>'员工计算'!U9</x:f>
        <x:v>40</x:v>
      </x:c>
      <x:c r="J9" s="14" t="n">
        <x:f>'员工计算'!G9</x:f>
        <x:v>1</x:v>
      </x:c>
      <x:c r="K9" s="27" t="n">
        <x:f>'员工计算'!X9</x:f>
        <x:v>1000</x:v>
      </x:c>
      <x:c r="L9" s="27" t="n">
        <x:f>'员工计算'!Y9</x:f>
        <x:v>593.55</x:v>
      </x:c>
      <x:c r="M9" s="1" t="str">
        <x:f>IF('员工计算'!G9=0,"用工性质不计奖",IF('员工计算'!F9=0,"计奖出勤为0",IF(L9=0,"扣减后归零",IF('员工计算'!W9&gt;='员工计算'!X9,"达到岗位上限","正常计奖"))))</x:f>
        <x:v>正常计奖</x:v>
      </x:c>
    </x:row>
    <x:row r="10" ht="24" customHeight="1">
      <x:c r="A10" s="9" t="str">
        <x:f>'员工计算'!A10</x:f>
        <x:v>CS106</x:v>
      </x:c>
      <x:c r="B10" s="9" t="str">
        <x:f>'员工计算'!B10</x:f>
        <x:v>模拟客服06</x:v>
      </x:c>
      <x:c r="C10" s="9" t="str">
        <x:f>'员工计算'!C10</x:f>
        <x:v>技术客服</x:v>
      </x:c>
      <x:c r="D10" s="9" t="n">
        <x:f>'员工计算'!K10</x:f>
        <x:v>0</x:v>
      </x:c>
      <x:c r="E10" s="28" t="n">
        <x:f>'员工计算'!J10</x:f>
        <x:v>0</x:v>
      </x:c>
      <x:c r="F10" s="28" t="n">
        <x:f>'员工计算'!P10</x:f>
        <x:v>0</x:v>
      </x:c>
      <x:c r="G10" s="32" t="n">
        <x:f>'员工计算'!S10</x:f>
        <x:v>97</x:v>
      </x:c>
      <x:c r="H10" s="15" t="n">
        <x:f>'员工计算'!T10</x:f>
        <x:v>1.1</x:v>
      </x:c>
      <x:c r="I10" s="28" t="n">
        <x:f>'员工计算'!U10</x:f>
        <x:v>0</x:v>
      </x:c>
      <x:c r="J10" s="15" t="n">
        <x:f>'员工计算'!G10</x:f>
        <x:v>1</x:v>
      </x:c>
      <x:c r="K10" s="28" t="n">
        <x:f>'员工计算'!X10</x:f>
        <x:v>1400</x:v>
      </x:c>
      <x:c r="L10" s="28" t="n">
        <x:f>'员工计算'!Y10</x:f>
        <x:v>0</x:v>
      </x:c>
      <x:c r="M10" s="9" t="str">
        <x:f>IF('员工计算'!G10=0,"用工性质不计奖",IF('员工计算'!F10=0,"计奖出勤为0",IF(L10=0,"扣减后归零",IF('员工计算'!W10&gt;='员工计算'!X10,"达到岗位上限","正常计奖"))))</x:f>
        <x:v>计奖出勤为0</x:v>
      </x:c>
    </x:row>
    <x:row r="11" ht="24" customHeight="1">
      <x:c r="A11" s="1" t="str">
        <x:f>'员工计算'!A11</x:f>
        <x:v>CS107</x:v>
      </x:c>
      <x:c r="B11" s="1" t="str">
        <x:f>'员工计算'!B11</x:f>
        <x:v>模拟客服07</x:v>
      </x:c>
      <x:c r="C11" s="1" t="str">
        <x:f>'员工计算'!C11</x:f>
        <x:v>在线客服</x:v>
      </x:c>
      <x:c r="D11" s="1" t="n">
        <x:f>'员工计算'!K11</x:f>
        <x:v>0</x:v>
      </x:c>
      <x:c r="E11" s="27" t="n">
        <x:f>'员工计算'!J11</x:f>
        <x:v>0</x:v>
      </x:c>
      <x:c r="F11" s="27" t="n">
        <x:f>'员工计算'!P11</x:f>
        <x:v>0</x:v>
      </x:c>
      <x:c r="G11" s="31" t="n">
        <x:f>'员工计算'!S11</x:f>
        <x:v>96</x:v>
      </x:c>
      <x:c r="H11" s="14" t="n">
        <x:f>'员工计算'!T11</x:f>
        <x:v>1.1</x:v>
      </x:c>
      <x:c r="I11" s="27" t="n">
        <x:f>'员工计算'!U11</x:f>
        <x:v>0</x:v>
      </x:c>
      <x:c r="J11" s="14" t="n">
        <x:f>'员工计算'!G11</x:f>
        <x:v>0</x:v>
      </x:c>
      <x:c r="K11" s="27" t="n">
        <x:f>'员工计算'!X11</x:f>
        <x:v>800</x:v>
      </x:c>
      <x:c r="L11" s="27" t="n">
        <x:f>'员工计算'!Y11</x:f>
        <x:v>0</x:v>
      </x:c>
      <x:c r="M11" s="1" t="str">
        <x:f>IF('员工计算'!G11=0,"用工性质不计奖",IF('员工计算'!F11=0,"计奖出勤为0",IF(L11=0,"扣减后归零",IF('员工计算'!W11&gt;='员工计算'!X11,"达到岗位上限","正常计奖"))))</x:f>
        <x:v>用工性质不计奖</x:v>
      </x:c>
    </x:row>
    <x:row r="12" ht="24" customHeight="1">
      <x:c r="A12" s="9" t="str">
        <x:f>'员工计算'!A12</x:f>
        <x:v>CS108</x:v>
      </x:c>
      <x:c r="B12" s="9" t="str">
        <x:f>'员工计算'!B12</x:f>
        <x:v>模拟客服08</x:v>
      </x:c>
      <x:c r="C12" s="9" t="str">
        <x:f>'员工计算'!C12</x:f>
        <x:v>电话客服</x:v>
      </x:c>
      <x:c r="D12" s="9" t="n">
        <x:f>'员工计算'!K12</x:f>
        <x:v>14</x:v>
      </x:c>
      <x:c r="E12" s="28" t="n">
        <x:f>'员工计算'!J12</x:f>
        <x:v>327.27</x:v>
      </x:c>
      <x:c r="F12" s="28" t="n">
        <x:f>'员工计算'!P12</x:f>
        <x:v>553.86</x:v>
      </x:c>
      <x:c r="G12" s="32" t="n">
        <x:f>'员工计算'!S12</x:f>
        <x:v>84.66666666666667</x:v>
      </x:c>
      <x:c r="H12" s="15" t="n">
        <x:f>'员工计算'!T12</x:f>
        <x:v>0.8</x:v>
      </x:c>
      <x:c r="I12" s="28" t="n">
        <x:f>'员工计算'!U12</x:f>
        <x:v>20</x:v>
      </x:c>
      <x:c r="J12" s="15" t="n">
        <x:f>'员工计算'!G12</x:f>
        <x:v>1</x:v>
      </x:c>
      <x:c r="K12" s="28" t="n">
        <x:f>'员工计算'!X12</x:f>
        <x:v>1000</x:v>
      </x:c>
      <x:c r="L12" s="28" t="n">
        <x:f>'员工计算'!Y12</x:f>
        <x:v>750.36</x:v>
      </x:c>
      <x:c r="M12" s="9" t="str">
        <x:f>IF('员工计算'!G12=0,"用工性质不计奖",IF('员工计算'!F12=0,"计奖出勤为0",IF(L12=0,"扣减后归零",IF('员工计算'!W12&gt;='员工计算'!X12,"达到岗位上限","正常计奖"))))</x:f>
        <x:v>正常计奖</x:v>
      </x:c>
    </x:row>
    <x:row r="13" ht="24" customHeight="1">
      <x:c r="A13" s="1" t="str">
        <x:f>'员工计算'!A13</x:f>
        <x:v>CS109</x:v>
      </x:c>
      <x:c r="B13" s="1" t="str">
        <x:f>'员工计算'!B13</x:f>
        <x:v>模拟客服09</x:v>
      </x:c>
      <x:c r="C13" s="1" t="str">
        <x:f>'员工计算'!C13</x:f>
        <x:v>技术客服</x:v>
      </x:c>
      <x:c r="D13" s="1" t="n">
        <x:f>'员工计算'!K13</x:f>
        <x:v>0</x:v>
      </x:c>
      <x:c r="E13" s="27" t="n">
        <x:f>'员工计算'!J13</x:f>
        <x:v>477.27</x:v>
      </x:c>
      <x:c r="F13" s="27" t="n">
        <x:f>'员工计算'!P13</x:f>
        <x:v>0</x:v>
      </x:c>
      <x:c r="G13" s="31" t="n">
        <x:f>'员工计算'!S13</x:f>
        <x:v>99</x:v>
      </x:c>
      <x:c r="H13" s="14" t="n">
        <x:f>'员工计算'!T13</x:f>
        <x:v>1.1</x:v>
      </x:c>
      <x:c r="I13" s="27" t="n">
        <x:f>'员工计算'!U13</x:f>
        <x:v>0</x:v>
      </x:c>
      <x:c r="J13" s="14" t="n">
        <x:f>'员工计算'!G13</x:f>
        <x:v>1</x:v>
      </x:c>
      <x:c r="K13" s="27" t="n">
        <x:f>'员工计算'!X13</x:f>
        <x:v>1400</x:v>
      </x:c>
      <x:c r="L13" s="27" t="n">
        <x:f>'员工计算'!Y13</x:f>
        <x:v>477.27</x:v>
      </x:c>
      <x:c r="M13" s="1" t="str">
        <x:f>IF('员工计算'!G13=0,"用工性质不计奖",IF('员工计算'!F13=0,"计奖出勤为0",IF(L13=0,"扣减后归零",IF('员工计算'!W13&gt;='员工计算'!X13,"达到岗位上限","正常计奖"))))</x:f>
        <x:v>正常计奖</x:v>
      </x:c>
    </x:row>
    <x:row r="14" ht="24" customHeight="1">
      <x:c r="A14" s="9" t="str">
        <x:f>'员工计算'!A14</x:f>
        <x:v>CS110</x:v>
      </x:c>
      <x:c r="B14" s="9" t="str">
        <x:f>'员工计算'!B14</x:f>
        <x:v>模拟客服10</x:v>
      </x:c>
      <x:c r="C14" s="9" t="str">
        <x:f>'员工计算'!C14</x:f>
        <x:v>电话客服</x:v>
      </x:c>
      <x:c r="D14" s="9" t="n">
        <x:f>'员工计算'!K14</x:f>
        <x:v>15</x:v>
      </x:c>
      <x:c r="E14" s="28" t="n">
        <x:f>'员工计算'!J14</x:f>
        <x:v>360</x:v>
      </x:c>
      <x:c r="F14" s="28" t="n">
        <x:f>'员工计算'!P14</x:f>
        <x:v>1210</x:v>
      </x:c>
      <x:c r="G14" s="32" t="n">
        <x:f>'员工计算'!S14</x:f>
        <x:v>97</x:v>
      </x:c>
      <x:c r="H14" s="15" t="n">
        <x:f>'员工计算'!T14</x:f>
        <x:v>1.1</x:v>
      </x:c>
      <x:c r="I14" s="28" t="n">
        <x:f>'员工计算'!U14</x:f>
        <x:v>0</x:v>
      </x:c>
      <x:c r="J14" s="15" t="n">
        <x:f>'员工计算'!G14</x:f>
        <x:v>1</x:v>
      </x:c>
      <x:c r="K14" s="28" t="n">
        <x:f>'员工计算'!X14</x:f>
        <x:v>1000</x:v>
      </x:c>
      <x:c r="L14" s="28" t="n">
        <x:f>'员工计算'!Y14</x:f>
        <x:v>1000</x:v>
      </x:c>
      <x:c r="M14" s="9" t="str">
        <x:f>IF('员工计算'!G14=0,"用工性质不计奖",IF('员工计算'!F14=0,"计奖出勤为0",IF(L14=0,"扣减后归零",IF('员工计算'!W14&gt;='员工计算'!X14,"达到岗位上限","正常计奖"))))</x:f>
        <x:v>达到岗位上限</x:v>
      </x:c>
    </x:row>
    <x:row r="15" ht="24" customHeight="1">
      <x:c r="A15" s="1" t="str">
        <x:f>'员工计算'!A15</x:f>
        <x:v>CS111</x:v>
      </x:c>
      <x:c r="B15" s="1" t="str">
        <x:f>'员工计算'!B15</x:f>
        <x:v>模拟客服11</x:v>
      </x:c>
      <x:c r="C15" s="1" t="str">
        <x:f>'员工计算'!C15</x:f>
        <x:v>电话客服</x:v>
      </x:c>
      <x:c r="D15" s="1" t="n">
        <x:f>'员工计算'!K15</x:f>
        <x:v>7</x:v>
      </x:c>
      <x:c r="E15" s="27" t="n">
        <x:f>'员工计算'!J15</x:f>
        <x:v>351.82</x:v>
      </x:c>
      <x:c r="F15" s="27" t="n">
        <x:f>'员工计算'!P15</x:f>
        <x:v>218.71</x:v>
      </x:c>
      <x:c r="G15" s="31" t="n">
        <x:f>'员工计算'!S15</x:f>
        <x:v>86</x:v>
      </x:c>
      <x:c r="H15" s="14" t="n">
        <x:f>'员工计算'!T15</x:f>
        <x:v>1</x:v>
      </x:c>
      <x:c r="I15" s="27" t="n">
        <x:f>'员工计算'!U15</x:f>
        <x:v>20</x:v>
      </x:c>
      <x:c r="J15" s="14" t="n">
        <x:f>'员工计算'!G15</x:f>
        <x:v>1</x:v>
      </x:c>
      <x:c r="K15" s="27" t="n">
        <x:f>'员工计算'!X15</x:f>
        <x:v>1000</x:v>
      </x:c>
      <x:c r="L15" s="27" t="n">
        <x:f>'员工计算'!Y15</x:f>
        <x:v>550.53</x:v>
      </x:c>
      <x:c r="M15" s="1" t="str">
        <x:f>IF('员工计算'!G15=0,"用工性质不计奖",IF('员工计算'!F15=0,"计奖出勤为0",IF(L15=0,"扣减后归零",IF('员工计算'!W15&gt;='员工计算'!X15,"达到岗位上限","正常计奖"))))</x:f>
        <x:v>正常计奖</x:v>
      </x:c>
    </x:row>
    <x:row r="16" ht="24" customHeight="1">
      <x:c r="A16" s="9" t="str">
        <x:f>'员工计算'!A16</x:f>
        <x:v>CS112</x:v>
      </x:c>
      <x:c r="B16" s="9" t="str">
        <x:f>'员工计算'!B16</x:f>
        <x:v>模拟客服12</x:v>
      </x:c>
      <x:c r="C16" s="9" t="str">
        <x:f>'员工计算'!C16</x:f>
        <x:v>技术客服</x:v>
      </x:c>
      <x:c r="D16" s="9" t="n">
        <x:f>'员工计算'!K16</x:f>
        <x:v>13</x:v>
      </x:c>
      <x:c r="E16" s="28" t="n">
        <x:f>'员工计算'!J16</x:f>
        <x:v>431.82</x:v>
      </x:c>
      <x:c r="F16" s="28" t="n">
        <x:f>'员工计算'!P16</x:f>
        <x:v>990</x:v>
      </x:c>
      <x:c r="G16" s="32" t="n">
        <x:f>'员工计算'!S16</x:f>
        <x:v>98</x:v>
      </x:c>
      <x:c r="H16" s="15" t="n">
        <x:f>'员工计算'!T16</x:f>
        <x:v>1.1</x:v>
      </x:c>
      <x:c r="I16" s="28" t="n">
        <x:f>'员工计算'!U16</x:f>
        <x:v>0</x:v>
      </x:c>
      <x:c r="J16" s="15" t="n">
        <x:f>'员工计算'!G16</x:f>
        <x:v>1</x:v>
      </x:c>
      <x:c r="K16" s="28" t="n">
        <x:f>'员工计算'!X16</x:f>
        <x:v>1400</x:v>
      </x:c>
      <x:c r="L16" s="28" t="n">
        <x:f>'员工计算'!Y16</x:f>
        <x:v>1400</x:v>
      </x:c>
      <x:c r="M16" s="9" t="str">
        <x:f>IF('员工计算'!G16=0,"用工性质不计奖",IF('员工计算'!F16=0,"计奖出勤为0",IF(L16=0,"扣减后归零",IF('员工计算'!W16&gt;='员工计算'!X16,"达到岗位上限","正常计奖"))))</x:f>
        <x:v>达到岗位上限</x:v>
      </x:c>
    </x:row>
    <x:row r="17">
      <x:c r="A17" s="43"/>
      <x:c r="B17" s="43"/>
      <x:c r="C17" s="43"/>
      <x:c r="D17" s="43"/>
      <x:c r="E17" s="44"/>
      <x:c r="F17" s="44"/>
      <x:c r="G17" s="43"/>
      <x:c r="H17" s="43"/>
      <x:c r="I17" s="44"/>
      <x:c r="J17" s="43"/>
      <x:c r="K17" s="44"/>
      <x:c r="L17" s="44"/>
      <x:c r="M17" s="43"/>
    </x:row>
    <x:row r="18" ht="29" customHeight="1">
      <x:c r="A18" s="25" t="str">
        <x:v>合计</x:v>
      </x:c>
      <x:c r="B18" s="25"/>
      <x:c r="C18" s="25"/>
      <x:c r="D18" s="25" t="n">
        <x:f>SUM(D5:D16)</x:f>
        <x:v>83</x:v>
      </x:c>
      <x:c r="E18" s="30" t="n">
        <x:f>SUM(E5:E16)</x:f>
        <x:v>3658.6400000000003</x:v>
      </x:c>
      <x:c r="F18" s="30" t="n">
        <x:f>SUM(F5:F16)</x:f>
        <x:v>3934.07</x:v>
      </x:c>
      <x:c r="G18" s="25"/>
      <x:c r="H18" s="25"/>
      <x:c r="I18" s="30" t="n">
        <x:f>SUM(I5:I16)</x:f>
        <x:v>540</x:v>
      </x:c>
      <x:c r="J18" s="25"/>
      <x:c r="K18" s="30"/>
      <x:c r="L18" s="30" t="n">
        <x:f>SUM(L5:L16)</x:f>
        <x:v>5871.69</x:v>
      </x:c>
      <x:c r="M18" s="25"/>
    </x:row>
    <x:row r="20">
      <x:c r="A20" t="str">
        <x:v>验收口径</x:v>
      </x:c>
      <x:c r="B20" s="26" t="str">
        <x:v>按工号逐项核对，零金额员工保留；最终应发为税前金额。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23" hidden="0" customWidth="1"/>
    <x:col min="7" max="7" width="18" hidden="0" customWidth="1"/>
    <x:col min="8" max="8" width="18" hidden="0" customWidth="1"/>
    <x:col min="9" max="9" width="23" hidden="0" customWidth="1"/>
    <x:col min="10" max="10" width="18" hidden="0" customWidth="1"/>
    <x:col min="11" max="11" width="17" hidden="0" customWidth="1"/>
    <x:col min="12" max="12" width="23" hidden="0" customWidth="1"/>
    <x:col min="13" max="13" width="28" hidden="0" customWidth="1"/>
    <x:col min="14" max="14" width="23" hidden="0" customWidth="1"/>
    <x:col min="15" max="15" width="18" hidden="0" customWidth="1"/>
    <x:col min="16" max="16" width="18" hidden="0" customWidth="1"/>
    <x:col min="17" max="17" width="18" hidden="0" customWidth="1"/>
    <x:col min="18" max="18" width="23" hidden="0" customWidth="1"/>
    <x:col min="19" max="19" width="23" hidden="0" customWidth="1"/>
    <x:col min="20" max="20" width="18" hidden="0" customWidth="1"/>
    <x:col min="21" max="21" width="18" hidden="0" customWidth="1"/>
    <x:col min="22" max="22" width="23" hidden="0" customWidth="1"/>
    <x:col min="23" max="23" width="23" hidden="0" customWidth="1"/>
    <x:col min="24" max="24" width="18" hidden="0" customWidth="1"/>
    <x:col min="25" max="25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ht="28" customHeight="1">
      <x:c r="A2" s="2" t="str">
        <x:v>员工独立计奖计算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 ht="22" customHeight="1">
      <x:c r="A3" s="3" t="str">
        <x:v>原始员工和出勤信息取自04_客服验收业务数据.xlsx；制度参数取自01号Word、02号PPT及03号PDF。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 ht="34" customHeight="1">
      <x:c r="A4" s="8" t="str">
        <x:v>工号</x:v>
      </x:c>
      <x:c r="B4" s="8" t="str">
        <x:v>姓名</x:v>
      </x:c>
      <x:c r="C4" s="8" t="str">
        <x:v>岗位</x:v>
      </x:c>
      <x:c r="D4" s="8" t="str">
        <x:v>用工性质</x:v>
      </x:c>
      <x:c r="E4" s="8" t="str">
        <x:v>应出勤天数</x:v>
      </x:c>
      <x:c r="F4" s="8" t="str">
        <x:v>计奖出勤天数</x:v>
      </x:c>
      <x:c r="G4" s="8" t="str">
        <x:v>用工系数</x:v>
      </x:c>
      <x:c r="H4" s="8" t="str">
        <x:v>计奖资格</x:v>
      </x:c>
      <x:c r="I4" s="8" t="str">
        <x:v>岗位保障标准</x:v>
      </x:c>
      <x:c r="J4" s="8" t="str">
        <x:v>出勤保障奖</x:v>
      </x:c>
      <x:c r="K4" s="8" t="str">
        <x:v>有效单量</x:v>
      </x:c>
      <x:c r="L4" s="8" t="str">
        <x:v>难度时效积分</x:v>
      </x:c>
      <x:c r="M4" s="8" t="str">
        <x:v>平均难度时效系数</x:v>
      </x:c>
      <x:c r="N4" s="8" t="str">
        <x:v>有效返工次数</x:v>
      </x:c>
      <x:c r="O4" s="8" t="str">
        <x:v>阶梯计件额</x:v>
      </x:c>
      <x:c r="P4" s="8" t="str">
        <x:v>工单奖</x:v>
      </x:c>
      <x:c r="Q4" s="8" t="str">
        <x:v>合格质检数</x:v>
      </x:c>
      <x:c r="R4" s="8" t="str">
        <x:v>质检得分合计</x:v>
      </x:c>
      <x:c r="S4" s="8" t="str">
        <x:v>平均质量分</x:v>
      </x:c>
      <x:c r="T4" s="8" t="str">
        <x:v>质量系数</x:v>
      </x:c>
      <x:c r="U4" s="8" t="str">
        <x:v>差错扣减</x:v>
      </x:c>
      <x:c r="V4" s="8" t="str">
        <x:v>用工折算前</x:v>
      </x:c>
      <x:c r="W4" s="8" t="str">
        <x:v>用工折算后</x:v>
      </x:c>
      <x:c r="X4" s="8" t="str">
        <x:v>岗位上限</x:v>
      </x:c>
      <x:c r="Y4" s="8" t="str">
        <x:v>最终应发</x:v>
      </x:c>
    </x:row>
    <x:row r="5" ht="24" customHeight="1">
      <x:c r="A5" s="1" t="str">
        <x:v>CS101</x:v>
      </x:c>
      <x:c r="B5" s="1" t="str">
        <x:v>模拟客服01</x:v>
      </x:c>
      <x:c r="C5" s="1" t="str">
        <x:v>在线客服</x:v>
      </x:c>
      <x:c r="D5" s="1" t="str">
        <x:v>正式</x:v>
      </x:c>
      <x:c r="E5" s="33" t="n">
        <x:v>22</x:v>
      </x:c>
      <x:c r="F5" s="33" t="n">
        <x:v>22</x:v>
      </x:c>
      <x:c r="G5" s="35" t="n">
        <x:f>VLOOKUP(D5,'制度参数'!$E$5:$F$7,2,FALSE)</x:f>
        <x:v>1</x:v>
      </x:c>
      <x:c r="H5" s="1" t="n">
        <x:f>IF(AND(G5&gt;0,F5&gt;0),1,0)</x:f>
        <x:v>1</x:v>
      </x:c>
      <x:c r="I5" s="37" t="n">
        <x:f>VLOOKUP(C5,'制度参数'!$A$5:$C$7,2,FALSE)</x:f>
        <x:v>300</x:v>
      </x:c>
      <x:c r="J5" s="27" t="n">
        <x:f>IF(H5=1,ROUND(I5*F5/E5,2),0)</x:f>
        <x:v>300</x:v>
      </x:c>
      <x:c r="K5" s="39" t="n">
        <x:f>SUMIFS('工单计算'!$L$5:$L$182,'工单计算'!$B$5:$B$182,A5)</x:f>
        <x:v>4</x:v>
      </x:c>
      <x:c r="L5" s="41" t="n">
        <x:f>SUMIFS('工单计算'!$P$5:$P$182,'工单计算'!$B$5:$B$182,A5)</x:f>
        <x:v>4.550000000000001</x:v>
      </x:c>
      <x:c r="M5" s="31" t="n">
        <x:f>IF(K5=0,0,L5/K5)</x:f>
        <x:v>1.1375000000000002</x:v>
      </x:c>
      <x:c r="N5" s="39" t="n">
        <x:f>SUMIFS('工单计算'!$Q$5:$Q$182,'工单计算'!$B$5:$B$182,A5)</x:f>
        <x:v>3</x:v>
      </x:c>
      <x:c r="O5" s="37" t="n">
        <x:f>MIN(K5,'制度参数'!$B$15)*'制度参数'!$B$17+MIN(MAX(K5-'制度参数'!$B$15,0),'制度参数'!$B$16-'制度参数'!$B$15)*'制度参数'!$B$18+MAX(K5-'制度参数'!$B$16,0)*'制度参数'!$B$19</x:f>
        <x:v>100</x:v>
      </x:c>
      <x:c r="P5" s="37" t="n">
        <x:f>MAX(ROUND(O5*M5-N5*'制度参数'!$B$20,2),0)</x:f>
        <x:v>89.75</x:v>
      </x:c>
      <x:c r="Q5" s="39" t="n">
        <x:f>SUMIFS('质检计算'!$H$5:$H$76,'质检计算'!$B$5:$B$76,A5)</x:f>
        <x:v>3</x:v>
      </x:c>
      <x:c r="R5" s="39" t="n">
        <x:f>SUMIFS('质检计算'!$I$5:$I$76,'质检计算'!$B$5:$B$76,A5)</x:f>
        <x:v>285</x:v>
      </x:c>
      <x:c r="S5" s="31" t="n">
        <x:f>IF(Q5&gt;0,R5/Q5,NA())</x:f>
        <x:v>95</x:v>
      </x:c>
      <x:c r="T5" s="35" t="n">
        <x:f>IF(S5&gt;='制度参数'!$N$8,'制度参数'!$O$8,IF(S5&gt;='制度参数'!$N$7,'制度参数'!$O$7,IF(S5&gt;='制度参数'!$N$6,'制度参数'!$O$6,'制度参数'!$O$5)))</x:f>
        <x:v>1.1</x:v>
      </x:c>
      <x:c r="U5" s="37" t="n">
        <x:f>SUMIFS('质检计算'!$J$5:$J$76,'质检计算'!$B$5:$B$76,A5)</x:f>
        <x:v>20</x:v>
      </x:c>
      <x:c r="V5" s="27" t="n">
        <x:f>J5+P5*T5-U5</x:f>
        <x:v>378.725</x:v>
      </x:c>
      <x:c r="W5" s="27" t="n">
        <x:f>V5*G5</x:f>
        <x:v>378.725</x:v>
      </x:c>
      <x:c r="X5" s="37" t="n">
        <x:f>VLOOKUP(C5,'制度参数'!$A$5:$C$7,3,FALSE)</x:f>
        <x:v>800</x:v>
      </x:c>
      <x:c r="Y5" s="27" t="n">
        <x:f>IF(H5=0,0,ROUND(MIN(MAX(W5,0),X5),2))</x:f>
        <x:v>378.73</x:v>
      </x:c>
    </x:row>
    <x:row r="6" ht="24" customHeight="1">
      <x:c r="A6" s="9" t="str">
        <x:v>CS102</x:v>
      </x:c>
      <x:c r="B6" s="9" t="str">
        <x:v>模拟客服02</x:v>
      </x:c>
      <x:c r="C6" s="9" t="str">
        <x:v>电话客服</x:v>
      </x:c>
      <x:c r="D6" s="9" t="str">
        <x:v>正式</x:v>
      </x:c>
      <x:c r="E6" s="34" t="n">
        <x:v>22</x:v>
      </x:c>
      <x:c r="F6" s="34" t="n">
        <x:v>20</x:v>
      </x:c>
      <x:c r="G6" s="36" t="n">
        <x:f>VLOOKUP(D6,'制度参数'!$E$5:$F$7,2,FALSE)</x:f>
        <x:v>1</x:v>
      </x:c>
      <x:c r="H6" s="9" t="n">
        <x:f>IF(AND(G6&gt;0,F6&gt;0),1,0)</x:f>
        <x:v>1</x:v>
      </x:c>
      <x:c r="I6" s="38" t="n">
        <x:f>VLOOKUP(C6,'制度参数'!$A$5:$C$7,2,FALSE)</x:f>
        <x:v>360</x:v>
      </x:c>
      <x:c r="J6" s="28" t="n">
        <x:f>IF(H6=1,ROUND(I6*F6/E6,2),0)</x:f>
        <x:v>327.27</x:v>
      </x:c>
      <x:c r="K6" s="40" t="n">
        <x:f>SUMIFS('工单计算'!$L$5:$L$182,'工单计算'!$B$5:$B$182,A6)</x:f>
        <x:v>5</x:v>
      </x:c>
      <x:c r="L6" s="42" t="n">
        <x:f>SUMIFS('工单计算'!$P$5:$P$182,'工单计算'!$B$5:$B$182,A6)</x:f>
        <x:v>5.6000000000000005</x:v>
      </x:c>
      <x:c r="M6" s="32" t="n">
        <x:f>IF(K6=0,0,L6/K6)</x:f>
        <x:v>1.12</x:v>
      </x:c>
      <x:c r="N6" s="40" t="n">
        <x:f>SUMIFS('工单计算'!$Q$5:$Q$182,'工单计算'!$B$5:$B$182,A6)</x:f>
        <x:v>3</x:v>
      </x:c>
      <x:c r="O6" s="38" t="n">
        <x:f>MIN(K6,'制度参数'!$B$15)*'制度参数'!$B$17+MIN(MAX(K6-'制度参数'!$B$15,0),'制度参数'!$B$16-'制度参数'!$B$15)*'制度参数'!$B$18+MAX(K6-'制度参数'!$B$16,0)*'制度参数'!$B$19</x:f>
        <x:v>125</x:v>
      </x:c>
      <x:c r="P6" s="38" t="n">
        <x:f>MAX(ROUND(O6*M6-N6*'制度参数'!$B$20,2),0)</x:f>
        <x:v>116</x:v>
      </x:c>
      <x:c r="Q6" s="40" t="n">
        <x:f>SUMIFS('质检计算'!$H$5:$H$76,'质检计算'!$B$5:$B$76,A6)</x:f>
        <x:v>3</x:v>
      </x:c>
      <x:c r="R6" s="40" t="n">
        <x:f>SUMIFS('质检计算'!$I$5:$I$76,'质检计算'!$B$5:$B$76,A6)</x:f>
        <x:v>255</x:v>
      </x:c>
      <x:c r="S6" s="32" t="n">
        <x:f>IF(Q6&gt;0,R6/Q6,NA())</x:f>
        <x:v>85</x:v>
      </x:c>
      <x:c r="T6" s="36" t="n">
        <x:f>IF(S6&gt;='制度参数'!$N$8,'制度参数'!$O$8,IF(S6&gt;='制度参数'!$N$7,'制度参数'!$O$7,IF(S6&gt;='制度参数'!$N$6,'制度参数'!$O$6,'制度参数'!$O$5)))</x:f>
        <x:v>1</x:v>
      </x:c>
      <x:c r="U6" s="38" t="n">
        <x:f>SUMIFS('质检计算'!$J$5:$J$76,'质检计算'!$B$5:$B$76,A6)</x:f>
        <x:v>20</x:v>
      </x:c>
      <x:c r="V6" s="28" t="n">
        <x:f>J6+P6*T6-U6</x:f>
        <x:v>423.27</x:v>
      </x:c>
      <x:c r="W6" s="28" t="n">
        <x:f>V6*G6</x:f>
        <x:v>423.27</x:v>
      </x:c>
      <x:c r="X6" s="38" t="n">
        <x:f>VLOOKUP(C6,'制度参数'!$A$5:$C$7,3,FALSE)</x:f>
        <x:v>1000</x:v>
      </x:c>
      <x:c r="Y6" s="28" t="n">
        <x:f>IF(H6=0,0,ROUND(MIN(MAX(W6,0),X6),2))</x:f>
        <x:v>423.27</x:v>
      </x:c>
    </x:row>
    <x:row r="7" ht="24" customHeight="1">
      <x:c r="A7" s="1" t="str">
        <x:v>CS103</x:v>
      </x:c>
      <x:c r="B7" s="1" t="str">
        <x:v>模拟客服03</x:v>
      </x:c>
      <x:c r="C7" s="1" t="str">
        <x:v>技术客服</x:v>
      </x:c>
      <x:c r="D7" s="1" t="str">
        <x:v>试用</x:v>
      </x:c>
      <x:c r="E7" s="33" t="n">
        <x:v>22</x:v>
      </x:c>
      <x:c r="F7" s="33" t="n">
        <x:v>21.5</x:v>
      </x:c>
      <x:c r="G7" s="35" t="n">
        <x:f>VLOOKUP(D7,'制度参数'!$E$5:$F$7,2,FALSE)</x:f>
        <x:v>0.6</x:v>
      </x:c>
      <x:c r="H7" s="1" t="n">
        <x:f>IF(AND(G7&gt;0,F7&gt;0),1,0)</x:f>
        <x:v>1</x:v>
      </x:c>
      <x:c r="I7" s="37" t="n">
        <x:f>VLOOKUP(C7,'制度参数'!$A$5:$C$7,2,FALSE)</x:f>
        <x:v>500</x:v>
      </x:c>
      <x:c r="J7" s="27" t="n">
        <x:f>IF(H7=1,ROUND(I7*F7/E7,2),0)</x:f>
        <x:v>488.64</x:v>
      </x:c>
      <x:c r="K7" s="39" t="n">
        <x:f>SUMIFS('工单计算'!$L$5:$L$182,'工单计算'!$B$5:$B$182,A7)</x:f>
        <x:v>6</x:v>
      </x:c>
      <x:c r="L7" s="41" t="n">
        <x:f>SUMIFS('工单计算'!$P$5:$P$182,'工单计算'!$B$5:$B$182,A7)</x:f>
        <x:v>6.9</x:v>
      </x:c>
      <x:c r="M7" s="31" t="n">
        <x:f>IF(K7=0,0,L7/K7)</x:f>
        <x:v>1.1500000000000001</x:v>
      </x:c>
      <x:c r="N7" s="39" t="n">
        <x:f>SUMIFS('工单计算'!$Q$5:$Q$182,'工单计算'!$B$5:$B$182,A7)</x:f>
        <x:v>3</x:v>
      </x:c>
      <x:c r="O7" s="37" t="n">
        <x:f>MIN(K7,'制度参数'!$B$15)*'制度参数'!$B$17+MIN(MAX(K7-'制度参数'!$B$15,0),'制度参数'!$B$16-'制度参数'!$B$15)*'制度参数'!$B$18+MAX(K7-'制度参数'!$B$16,0)*'制度参数'!$B$19</x:f>
        <x:v>160</x:v>
      </x:c>
      <x:c r="P7" s="37" t="n">
        <x:f>MAX(ROUND(O7*M7-N7*'制度参数'!$B$20,2),0)</x:f>
        <x:v>160</x:v>
      </x:c>
      <x:c r="Q7" s="39" t="n">
        <x:f>SUMIFS('质检计算'!$H$5:$H$76,'质检计算'!$B$5:$B$76,A7)</x:f>
        <x:v>3</x:v>
      </x:c>
      <x:c r="R7" s="39" t="n">
        <x:f>SUMIFS('质检计算'!$I$5:$I$76,'质检计算'!$B$5:$B$76,A7)</x:f>
        <x:v>225</x:v>
      </x:c>
      <x:c r="S7" s="31" t="n">
        <x:f>IF(Q7&gt;0,R7/Q7,NA())</x:f>
        <x:v>75</x:v>
      </x:c>
      <x:c r="T7" s="35" t="n">
        <x:f>IF(S7&gt;='制度参数'!$N$8,'制度参数'!$O$8,IF(S7&gt;='制度参数'!$N$7,'制度参数'!$O$7,IF(S7&gt;='制度参数'!$N$6,'制度参数'!$O$6,'制度参数'!$O$5)))</x:f>
        <x:v>0.8</x:v>
      </x:c>
      <x:c r="U7" s="37" t="n">
        <x:f>SUMIFS('质检计算'!$J$5:$J$76,'质检计算'!$B$5:$B$76,A7)</x:f>
        <x:v>120</x:v>
      </x:c>
      <x:c r="V7" s="27" t="n">
        <x:f>J7+P7*T7-U7</x:f>
        <x:v>496.64</x:v>
      </x:c>
      <x:c r="W7" s="27" t="n">
        <x:f>V7*G7</x:f>
        <x:v>297.984</x:v>
      </x:c>
      <x:c r="X7" s="37" t="n">
        <x:f>VLOOKUP(C7,'制度参数'!$A$5:$C$7,3,FALSE)</x:f>
        <x:v>1400</x:v>
      </x:c>
      <x:c r="Y7" s="27" t="n">
        <x:f>IF(H7=0,0,ROUND(MIN(MAX(W7,0),X7),2))</x:f>
        <x:v>297.98</x:v>
      </x:c>
    </x:row>
    <x:row r="8" ht="24" customHeight="1">
      <x:c r="A8" s="9" t="str">
        <x:v>CS104</x:v>
      </x:c>
      <x:c r="B8" s="9" t="str">
        <x:v>模拟客服04</x:v>
      </x:c>
      <x:c r="C8" s="9" t="str">
        <x:v>在线客服</x:v>
      </x:c>
      <x:c r="D8" s="9" t="str">
        <x:v>正式</x:v>
      </x:c>
      <x:c r="E8" s="34" t="n">
        <x:v>22</x:v>
      </x:c>
      <x:c r="F8" s="34" t="n">
        <x:v>22</x:v>
      </x:c>
      <x:c r="G8" s="36" t="n">
        <x:f>VLOOKUP(D8,'制度参数'!$E$5:$F$7,2,FALSE)</x:f>
        <x:v>1</x:v>
      </x:c>
      <x:c r="H8" s="9" t="n">
        <x:f>IF(AND(G8&gt;0,F8&gt;0),1,0)</x:f>
        <x:v>1</x:v>
      </x:c>
      <x:c r="I8" s="38" t="n">
        <x:f>VLOOKUP(C8,'制度参数'!$A$5:$C$7,2,FALSE)</x:f>
        <x:v>300</x:v>
      </x:c>
      <x:c r="J8" s="28" t="n">
        <x:f>IF(H8=1,ROUND(I8*F8/E8,2),0)</x:f>
        <x:v>300</x:v>
      </x:c>
      <x:c r="K8" s="40" t="n">
        <x:f>SUMIFS('工单计算'!$L$5:$L$182,'工单计算'!$B$5:$B$182,A8)</x:f>
        <x:v>9</x:v>
      </x:c>
      <x:c r="L8" s="42" t="n">
        <x:f>SUMIFS('工单计算'!$P$5:$P$182,'工单计算'!$B$5:$B$182,A8)</x:f>
        <x:v>10.35</x:v>
      </x:c>
      <x:c r="M8" s="32" t="n">
        <x:f>IF(K8=0,0,L8/K8)</x:f>
        <x:v>1.15</x:v>
      </x:c>
      <x:c r="N8" s="40" t="n">
        <x:f>SUMIFS('工单计算'!$Q$5:$Q$182,'工单计算'!$B$5:$B$182,A8)</x:f>
        <x:v>6</x:v>
      </x:c>
      <x:c r="O8" s="38" t="n">
        <x:f>MIN(K8,'制度参数'!$B$15)*'制度参数'!$B$17+MIN(MAX(K8-'制度参数'!$B$15,0),'制度参数'!$B$16-'制度参数'!$B$15)*'制度参数'!$B$18+MAX(K8-'制度参数'!$B$16,0)*'制度参数'!$B$19</x:f>
        <x:v>265</x:v>
      </x:c>
      <x:c r="P8" s="38" t="n">
        <x:f>MAX(ROUND(O8*M8-N8*'制度参数'!$B$20,2),0)</x:f>
        <x:v>256.75</x:v>
      </x:c>
      <x:c r="Q8" s="40" t="n">
        <x:f>SUMIFS('质检计算'!$H$5:$H$76,'质检计算'!$B$5:$B$76,A8)</x:f>
        <x:v>3</x:v>
      </x:c>
      <x:c r="R8" s="40" t="n">
        <x:f>SUMIFS('质检计算'!$I$5:$I$76,'质检计算'!$B$5:$B$76,A8)</x:f>
        <x:v>222</x:v>
      </x:c>
      <x:c r="S8" s="32" t="n">
        <x:f>IF(Q8&gt;0,R8/Q8,NA())</x:f>
        <x:v>74</x:v>
      </x:c>
      <x:c r="T8" s="36" t="n">
        <x:f>IF(S8&gt;='制度参数'!$N$8,'制度参数'!$O$8,IF(S8&gt;='制度参数'!$N$7,'制度参数'!$O$7,IF(S8&gt;='制度参数'!$N$6,'制度参数'!$O$6,'制度参数'!$O$5)))</x:f>
        <x:v>0</x:v>
      </x:c>
      <x:c r="U8" s="38" t="n">
        <x:f>SUMIFS('质检计算'!$J$5:$J$76,'质检计算'!$B$5:$B$76,A8)</x:f>
        <x:v>300</x:v>
      </x:c>
      <x:c r="V8" s="28" t="n">
        <x:f>J8+P8*T8-U8</x:f>
        <x:v>0</x:v>
      </x:c>
      <x:c r="W8" s="28" t="n">
        <x:f>V8*G8</x:f>
        <x:v>0</x:v>
      </x:c>
      <x:c r="X8" s="38" t="n">
        <x:f>VLOOKUP(C8,'制度参数'!$A$5:$C$7,3,FALSE)</x:f>
        <x:v>800</x:v>
      </x:c>
      <x:c r="Y8" s="28" t="n">
        <x:f>IF(H8=0,0,ROUND(MIN(MAX(W8,0),X8),2))</x:f>
        <x:v>0</x:v>
      </x:c>
    </x:row>
    <x:row r="9" ht="24" customHeight="1">
      <x:c r="A9" s="1" t="str">
        <x:v>CS105</x:v>
      </x:c>
      <x:c r="B9" s="1" t="str">
        <x:v>模拟客服05</x:v>
      </x:c>
      <x:c r="C9" s="1" t="str">
        <x:v>电话客服</x:v>
      </x:c>
      <x:c r="D9" s="1" t="str">
        <x:v>正式</x:v>
      </x:c>
      <x:c r="E9" s="33" t="n">
        <x:v>22</x:v>
      </x:c>
      <x:c r="F9" s="33" t="n">
        <x:v>18</x:v>
      </x:c>
      <x:c r="G9" s="35" t="n">
        <x:f>VLOOKUP(D9,'制度参数'!$E$5:$F$7,2,FALSE)</x:f>
        <x:v>1</x:v>
      </x:c>
      <x:c r="H9" s="1" t="n">
        <x:f>IF(AND(G9&gt;0,F9&gt;0),1,0)</x:f>
        <x:v>1</x:v>
      </x:c>
      <x:c r="I9" s="37" t="n">
        <x:f>VLOOKUP(C9,'制度参数'!$A$5:$C$7,2,FALSE)</x:f>
        <x:v>360</x:v>
      </x:c>
      <x:c r="J9" s="27" t="n">
        <x:f>IF(H9=1,ROUND(I9*F9/E9,2),0)</x:f>
        <x:v>294.55</x:v>
      </x:c>
      <x:c r="K9" s="39" t="n">
        <x:f>SUMIFS('工单计算'!$L$5:$L$182,'工单计算'!$B$5:$B$182,A9)</x:f>
        <x:v>10</x:v>
      </x:c>
      <x:c r="L9" s="41" t="n">
        <x:f>SUMIFS('工单计算'!$P$5:$P$182,'工单计算'!$B$5:$B$182,A9)</x:f>
        <x:v>12.899999999999999</x:v>
      </x:c>
      <x:c r="M9" s="31" t="n">
        <x:f>IF(K9=0,0,L9/K9)</x:f>
        <x:v>1.2899999999999998</x:v>
      </x:c>
      <x:c r="N9" s="39" t="n">
        <x:f>SUMIFS('工单计算'!$Q$5:$Q$182,'工单计算'!$B$5:$B$182,A9)</x:f>
        <x:v>6</x:v>
      </x:c>
      <x:c r="O9" s="37" t="n">
        <x:f>MIN(K9,'制度参数'!$B$15)*'制度参数'!$B$17+MIN(MAX(K9-'制度参数'!$B$15,0),'制度参数'!$B$16-'制度参数'!$B$15)*'制度参数'!$B$18+MAX(K9-'制度参数'!$B$16,0)*'制度参数'!$B$19</x:f>
        <x:v>300</x:v>
      </x:c>
      <x:c r="P9" s="37" t="n">
        <x:f>MAX(ROUND(O9*M9-N9*'制度参数'!$B$20,2),0)</x:f>
        <x:v>339</x:v>
      </x:c>
      <x:c r="Q9" s="39" t="n">
        <x:f>SUMIFS('质检计算'!$H$5:$H$76,'质检计算'!$B$5:$B$76,A9)</x:f>
        <x:v>3</x:v>
      </x:c>
      <x:c r="R9" s="39" t="n">
        <x:f>SUMIFS('质检计算'!$I$5:$I$76,'质检计算'!$B$5:$B$76,A9)</x:f>
        <x:v>284</x:v>
      </x:c>
      <x:c r="S9" s="31" t="n">
        <x:f>IF(Q9&gt;0,R9/Q9,NA())</x:f>
        <x:v>94.66666666666667</x:v>
      </x:c>
      <x:c r="T9" s="35" t="n">
        <x:f>IF(S9&gt;='制度参数'!$N$8,'制度参数'!$O$8,IF(S9&gt;='制度参数'!$N$7,'制度参数'!$O$7,IF(S9&gt;='制度参数'!$N$6,'制度参数'!$O$6,'制度参数'!$O$5)))</x:f>
        <x:v>1</x:v>
      </x:c>
      <x:c r="U9" s="37" t="n">
        <x:f>SUMIFS('质检计算'!$J$5:$J$76,'质检计算'!$B$5:$B$76,A9)</x:f>
        <x:v>40</x:v>
      </x:c>
      <x:c r="V9" s="27" t="n">
        <x:f>J9+P9*T9-U9</x:f>
        <x:v>593.55</x:v>
      </x:c>
      <x:c r="W9" s="27" t="n">
        <x:f>V9*G9</x:f>
        <x:v>593.55</x:v>
      </x:c>
      <x:c r="X9" s="37" t="n">
        <x:f>VLOOKUP(C9,'制度参数'!$A$5:$C$7,3,FALSE)</x:f>
        <x:v>1000</x:v>
      </x:c>
      <x:c r="Y9" s="27" t="n">
        <x:f>IF(H9=0,0,ROUND(MIN(MAX(W9,0),X9),2))</x:f>
        <x:v>593.55</x:v>
      </x:c>
    </x:row>
    <x:row r="10" ht="24" customHeight="1">
      <x:c r="A10" s="9" t="str">
        <x:v>CS106</x:v>
      </x:c>
      <x:c r="B10" s="9" t="str">
        <x:v>模拟客服06</x:v>
      </x:c>
      <x:c r="C10" s="9" t="str">
        <x:v>技术客服</x:v>
      </x:c>
      <x:c r="D10" s="9" t="str">
        <x:v>正式</x:v>
      </x:c>
      <x:c r="E10" s="34" t="n">
        <x:v>22</x:v>
      </x:c>
      <x:c r="F10" s="34" t="n">
        <x:v>0</x:v>
      </x:c>
      <x:c r="G10" s="36" t="n">
        <x:f>VLOOKUP(D10,'制度参数'!$E$5:$F$7,2,FALSE)</x:f>
        <x:v>1</x:v>
      </x:c>
      <x:c r="H10" s="9" t="n">
        <x:f>IF(AND(G10&gt;0,F10&gt;0),1,0)</x:f>
        <x:v>0</x:v>
      </x:c>
      <x:c r="I10" s="38" t="n">
        <x:f>VLOOKUP(C10,'制度参数'!$A$5:$C$7,2,FALSE)</x:f>
        <x:v>500</x:v>
      </x:c>
      <x:c r="J10" s="28" t="n">
        <x:f>IF(H10=1,ROUND(I10*F10/E10,2),0)</x:f>
        <x:v>0</x:v>
      </x:c>
      <x:c r="K10" s="40" t="n">
        <x:f>SUMIFS('工单计算'!$L$5:$L$182,'工单计算'!$B$5:$B$182,A10)</x:f>
        <x:v>0</x:v>
      </x:c>
      <x:c r="L10" s="42" t="n">
        <x:f>SUMIFS('工单计算'!$P$5:$P$182,'工单计算'!$B$5:$B$182,A10)</x:f>
        <x:v>0</x:v>
      </x:c>
      <x:c r="M10" s="32" t="n">
        <x:f>IF(K10=0,0,L10/K10)</x:f>
        <x:v>0</x:v>
      </x:c>
      <x:c r="N10" s="40" t="n">
        <x:f>SUMIFS('工单计算'!$Q$5:$Q$182,'工单计算'!$B$5:$B$182,A10)</x:f>
        <x:v>0</x:v>
      </x:c>
      <x:c r="O10" s="38" t="n">
        <x:f>MIN(K10,'制度参数'!$B$15)*'制度参数'!$B$17+MIN(MAX(K10-'制度参数'!$B$15,0),'制度参数'!$B$16-'制度参数'!$B$15)*'制度参数'!$B$18+MAX(K10-'制度参数'!$B$16,0)*'制度参数'!$B$19</x:f>
        <x:v>0</x:v>
      </x:c>
      <x:c r="P10" s="38" t="n">
        <x:f>MAX(ROUND(O10*M10-N10*'制度参数'!$B$20,2),0)</x:f>
        <x:v>0</x:v>
      </x:c>
      <x:c r="Q10" s="40" t="n">
        <x:f>SUMIFS('质检计算'!$H$5:$H$76,'质检计算'!$B$5:$B$76,A10)</x:f>
        <x:v>3</x:v>
      </x:c>
      <x:c r="R10" s="40" t="n">
        <x:f>SUMIFS('质检计算'!$I$5:$I$76,'质检计算'!$B$5:$B$76,A10)</x:f>
        <x:v>291</x:v>
      </x:c>
      <x:c r="S10" s="32" t="n">
        <x:f>IF(Q10&gt;0,R10/Q10,NA())</x:f>
        <x:v>97</x:v>
      </x:c>
      <x:c r="T10" s="36" t="n">
        <x:f>IF(S10&gt;='制度参数'!$N$8,'制度参数'!$O$8,IF(S10&gt;='制度参数'!$N$7,'制度参数'!$O$7,IF(S10&gt;='制度参数'!$N$6,'制度参数'!$O$6,'制度参数'!$O$5)))</x:f>
        <x:v>1.1</x:v>
      </x:c>
      <x:c r="U10" s="38" t="n">
        <x:f>SUMIFS('质检计算'!$J$5:$J$76,'质检计算'!$B$5:$B$76,A10)</x:f>
        <x:v>0</x:v>
      </x:c>
      <x:c r="V10" s="28" t="n">
        <x:f>J10+P10*T10-U10</x:f>
        <x:v>0</x:v>
      </x:c>
      <x:c r="W10" s="28" t="n">
        <x:f>V10*G10</x:f>
        <x:v>0</x:v>
      </x:c>
      <x:c r="X10" s="38" t="n">
        <x:f>VLOOKUP(C10,'制度参数'!$A$5:$C$7,3,FALSE)</x:f>
        <x:v>1400</x:v>
      </x:c>
      <x:c r="Y10" s="28" t="n">
        <x:f>IF(H10=0,0,ROUND(MIN(MAX(W10,0),X10),2))</x:f>
        <x:v>0</x:v>
      </x:c>
    </x:row>
    <x:row r="11" ht="24" customHeight="1">
      <x:c r="A11" s="1" t="str">
        <x:v>CS107</x:v>
      </x:c>
      <x:c r="B11" s="1" t="str">
        <x:v>模拟客服07</x:v>
      </x:c>
      <x:c r="C11" s="1" t="str">
        <x:v>在线客服</x:v>
      </x:c>
      <x:c r="D11" s="1" t="str">
        <x:v>外包</x:v>
      </x:c>
      <x:c r="E11" s="33" t="n">
        <x:v>22</x:v>
      </x:c>
      <x:c r="F11" s="33" t="n">
        <x:v>22</x:v>
      </x:c>
      <x:c r="G11" s="35" t="n">
        <x:f>VLOOKUP(D11,'制度参数'!$E$5:$F$7,2,FALSE)</x:f>
        <x:v>0</x:v>
      </x:c>
      <x:c r="H11" s="1" t="n">
        <x:f>IF(AND(G11&gt;0,F11&gt;0),1,0)</x:f>
        <x:v>0</x:v>
      </x:c>
      <x:c r="I11" s="37" t="n">
        <x:f>VLOOKUP(C11,'制度参数'!$A$5:$C$7,2,FALSE)</x:f>
        <x:v>300</x:v>
      </x:c>
      <x:c r="J11" s="27" t="n">
        <x:f>IF(H11=1,ROUND(I11*F11/E11,2),0)</x:f>
        <x:v>0</x:v>
      </x:c>
      <x:c r="K11" s="39" t="n">
        <x:f>SUMIFS('工单计算'!$L$5:$L$182,'工单计算'!$B$5:$B$182,A11)</x:f>
        <x:v>0</x:v>
      </x:c>
      <x:c r="L11" s="41" t="n">
        <x:f>SUMIFS('工单计算'!$P$5:$P$182,'工单计算'!$B$5:$B$182,A11)</x:f>
        <x:v>0</x:v>
      </x:c>
      <x:c r="M11" s="31" t="n">
        <x:f>IF(K11=0,0,L11/K11)</x:f>
        <x:v>0</x:v>
      </x:c>
      <x:c r="N11" s="39" t="n">
        <x:f>SUMIFS('工单计算'!$Q$5:$Q$182,'工单计算'!$B$5:$B$182,A11)</x:f>
        <x:v>0</x:v>
      </x:c>
      <x:c r="O11" s="37" t="n">
        <x:f>MIN(K11,'制度参数'!$B$15)*'制度参数'!$B$17+MIN(MAX(K11-'制度参数'!$B$15,0),'制度参数'!$B$16-'制度参数'!$B$15)*'制度参数'!$B$18+MAX(K11-'制度参数'!$B$16,0)*'制度参数'!$B$19</x:f>
        <x:v>0</x:v>
      </x:c>
      <x:c r="P11" s="37" t="n">
        <x:f>MAX(ROUND(O11*M11-N11*'制度参数'!$B$20,2),0)</x:f>
        <x:v>0</x:v>
      </x:c>
      <x:c r="Q11" s="39" t="n">
        <x:f>SUMIFS('质检计算'!$H$5:$H$76,'质检计算'!$B$5:$B$76,A11)</x:f>
        <x:v>3</x:v>
      </x:c>
      <x:c r="R11" s="39" t="n">
        <x:f>SUMIFS('质检计算'!$I$5:$I$76,'质检计算'!$B$5:$B$76,A11)</x:f>
        <x:v>288</x:v>
      </x:c>
      <x:c r="S11" s="31" t="n">
        <x:f>IF(Q11&gt;0,R11/Q11,NA())</x:f>
        <x:v>96</x:v>
      </x:c>
      <x:c r="T11" s="35" t="n">
        <x:f>IF(S11&gt;='制度参数'!$N$8,'制度参数'!$O$8,IF(S11&gt;='制度参数'!$N$7,'制度参数'!$O$7,IF(S11&gt;='制度参数'!$N$6,'制度参数'!$O$6,'制度参数'!$O$5)))</x:f>
        <x:v>1.1</x:v>
      </x:c>
      <x:c r="U11" s="37" t="n">
        <x:f>SUMIFS('质检计算'!$J$5:$J$76,'质检计算'!$B$5:$B$76,A11)</x:f>
        <x:v>0</x:v>
      </x:c>
      <x:c r="V11" s="27" t="n">
        <x:f>J11+P11*T11-U11</x:f>
        <x:v>0</x:v>
      </x:c>
      <x:c r="W11" s="27" t="n">
        <x:f>V11*G11</x:f>
        <x:v>0</x:v>
      </x:c>
      <x:c r="X11" s="37" t="n">
        <x:f>VLOOKUP(C11,'制度参数'!$A$5:$C$7,3,FALSE)</x:f>
        <x:v>800</x:v>
      </x:c>
      <x:c r="Y11" s="27" t="n">
        <x:f>IF(H11=0,0,ROUND(MIN(MAX(W11,0),X11),2))</x:f>
        <x:v>0</x:v>
      </x:c>
    </x:row>
    <x:row r="12" ht="24" customHeight="1">
      <x:c r="A12" s="9" t="str">
        <x:v>CS108</x:v>
      </x:c>
      <x:c r="B12" s="9" t="str">
        <x:v>模拟客服08</x:v>
      </x:c>
      <x:c r="C12" s="9" t="str">
        <x:v>电话客服</x:v>
      </x:c>
      <x:c r="D12" s="9" t="str">
        <x:v>正式</x:v>
      </x:c>
      <x:c r="E12" s="34" t="n">
        <x:v>22</x:v>
      </x:c>
      <x:c r="F12" s="34" t="n">
        <x:v>20</x:v>
      </x:c>
      <x:c r="G12" s="36" t="n">
        <x:f>VLOOKUP(D12,'制度参数'!$E$5:$F$7,2,FALSE)</x:f>
        <x:v>1</x:v>
      </x:c>
      <x:c r="H12" s="9" t="n">
        <x:f>IF(AND(G12&gt;0,F12&gt;0),1,0)</x:f>
        <x:v>1</x:v>
      </x:c>
      <x:c r="I12" s="38" t="n">
        <x:f>VLOOKUP(C12,'制度参数'!$A$5:$C$7,2,FALSE)</x:f>
        <x:v>360</x:v>
      </x:c>
      <x:c r="J12" s="28" t="n">
        <x:f>IF(H12=1,ROUND(I12*F12/E12,2),0)</x:f>
        <x:v>327.27</x:v>
      </x:c>
      <x:c r="K12" s="40" t="n">
        <x:f>SUMIFS('工单计算'!$L$5:$L$182,'工单计算'!$B$5:$B$182,A12)</x:f>
        <x:v>14</x:v>
      </x:c>
      <x:c r="L12" s="42" t="n">
        <x:f>SUMIFS('工单计算'!$P$5:$P$182,'工单计算'!$B$5:$B$182,A12)</x:f>
        <x:v>17.299999999999997</x:v>
      </x:c>
      <x:c r="M12" s="32" t="n">
        <x:f>IF(K12=0,0,L12/K12)</x:f>
        <x:v>1.2357142857142855</x:v>
      </x:c>
      <x:c r="N12" s="40" t="n">
        <x:f>SUMIFS('工单计算'!$Q$5:$Q$182,'工单计算'!$B$5:$B$182,A12)</x:f>
        <x:v>8</x:v>
      </x:c>
      <x:c r="O12" s="38" t="n">
        <x:f>MIN(K12,'制度参数'!$B$15)*'制度参数'!$B$17+MIN(MAX(K12-'制度参数'!$B$15,0),'制度参数'!$B$16-'制度参数'!$B$15)*'制度参数'!$B$18+MAX(K12-'制度参数'!$B$16,0)*'制度参数'!$B$19</x:f>
        <x:v>500</x:v>
      </x:c>
      <x:c r="P12" s="38" t="n">
        <x:f>MAX(ROUND(O12*M12-N12*'制度参数'!$B$20,2),0)</x:f>
        <x:v>553.86</x:v>
      </x:c>
      <x:c r="Q12" s="40" t="n">
        <x:f>SUMIFS('质检计算'!$H$5:$H$76,'质检计算'!$B$5:$B$76,A12)</x:f>
        <x:v>3</x:v>
      </x:c>
      <x:c r="R12" s="40" t="n">
        <x:f>SUMIFS('质检计算'!$I$5:$I$76,'质检计算'!$B$5:$B$76,A12)</x:f>
        <x:v>254</x:v>
      </x:c>
      <x:c r="S12" s="32" t="n">
        <x:f>IF(Q12&gt;0,R12/Q12,NA())</x:f>
        <x:v>84.66666666666667</x:v>
      </x:c>
      <x:c r="T12" s="36" t="n">
        <x:f>IF(S12&gt;='制度参数'!$N$8,'制度参数'!$O$8,IF(S12&gt;='制度参数'!$N$7,'制度参数'!$O$7,IF(S12&gt;='制度参数'!$N$6,'制度参数'!$O$6,'制度参数'!$O$5)))</x:f>
        <x:v>0.8</x:v>
      </x:c>
      <x:c r="U12" s="38" t="n">
        <x:f>SUMIFS('质检计算'!$J$5:$J$76,'质检计算'!$B$5:$B$76,A12)</x:f>
        <x:v>20</x:v>
      </x:c>
      <x:c r="V12" s="28" t="n">
        <x:f>J12+P12*T12-U12</x:f>
        <x:v>750.358</x:v>
      </x:c>
      <x:c r="W12" s="28" t="n">
        <x:f>V12*G12</x:f>
        <x:v>750.358</x:v>
      </x:c>
      <x:c r="X12" s="38" t="n">
        <x:f>VLOOKUP(C12,'制度参数'!$A$5:$C$7,3,FALSE)</x:f>
        <x:v>1000</x:v>
      </x:c>
      <x:c r="Y12" s="28" t="n">
        <x:f>IF(H12=0,0,ROUND(MIN(MAX(W12,0),X12),2))</x:f>
        <x:v>750.36</x:v>
      </x:c>
    </x:row>
    <x:row r="13" ht="24" customHeight="1">
      <x:c r="A13" s="1" t="str">
        <x:v>CS109</x:v>
      </x:c>
      <x:c r="B13" s="1" t="str">
        <x:v>模拟客服09</x:v>
      </x:c>
      <x:c r="C13" s="1" t="str">
        <x:v>技术客服</x:v>
      </x:c>
      <x:c r="D13" s="1" t="str">
        <x:v>正式</x:v>
      </x:c>
      <x:c r="E13" s="33" t="n">
        <x:v>22</x:v>
      </x:c>
      <x:c r="F13" s="33" t="n">
        <x:v>21</x:v>
      </x:c>
      <x:c r="G13" s="35" t="n">
        <x:f>VLOOKUP(D13,'制度参数'!$E$5:$F$7,2,FALSE)</x:f>
        <x:v>1</x:v>
      </x:c>
      <x:c r="H13" s="1" t="n">
        <x:f>IF(AND(G13&gt;0,F13&gt;0),1,0)</x:f>
        <x:v>1</x:v>
      </x:c>
      <x:c r="I13" s="37" t="n">
        <x:f>VLOOKUP(C13,'制度参数'!$A$5:$C$7,2,FALSE)</x:f>
        <x:v>500</x:v>
      </x:c>
      <x:c r="J13" s="27" t="n">
        <x:f>IF(H13=1,ROUND(I13*F13/E13,2),0)</x:f>
        <x:v>477.27</x:v>
      </x:c>
      <x:c r="K13" s="39" t="n">
        <x:f>SUMIFS('工单计算'!$L$5:$L$182,'工单计算'!$B$5:$B$182,A13)</x:f>
        <x:v>0</x:v>
      </x:c>
      <x:c r="L13" s="41" t="n">
        <x:f>SUMIFS('工单计算'!$P$5:$P$182,'工单计算'!$B$5:$B$182,A13)</x:f>
        <x:v>0</x:v>
      </x:c>
      <x:c r="M13" s="31" t="n">
        <x:f>IF(K13=0,0,L13/K13)</x:f>
        <x:v>0</x:v>
      </x:c>
      <x:c r="N13" s="39" t="n">
        <x:f>SUMIFS('工单计算'!$Q$5:$Q$182,'工单计算'!$B$5:$B$182,A13)</x:f>
        <x:v>0</x:v>
      </x:c>
      <x:c r="O13" s="37" t="n">
        <x:f>MIN(K13,'制度参数'!$B$15)*'制度参数'!$B$17+MIN(MAX(K13-'制度参数'!$B$15,0),'制度参数'!$B$16-'制度参数'!$B$15)*'制度参数'!$B$18+MAX(K13-'制度参数'!$B$16,0)*'制度参数'!$B$19</x:f>
        <x:v>0</x:v>
      </x:c>
      <x:c r="P13" s="37" t="n">
        <x:f>MAX(ROUND(O13*M13-N13*'制度参数'!$B$20,2),0)</x:f>
        <x:v>0</x:v>
      </x:c>
      <x:c r="Q13" s="39" t="n">
        <x:f>SUMIFS('质检计算'!$H$5:$H$76,'质检计算'!$B$5:$B$76,A13)</x:f>
        <x:v>3</x:v>
      </x:c>
      <x:c r="R13" s="39" t="n">
        <x:f>SUMIFS('质检计算'!$I$5:$I$76,'质检计算'!$B$5:$B$76,A13)</x:f>
        <x:v>297</x:v>
      </x:c>
      <x:c r="S13" s="31" t="n">
        <x:f>IF(Q13&gt;0,R13/Q13,NA())</x:f>
        <x:v>99</x:v>
      </x:c>
      <x:c r="T13" s="35" t="n">
        <x:f>IF(S13&gt;='制度参数'!$N$8,'制度参数'!$O$8,IF(S13&gt;='制度参数'!$N$7,'制度参数'!$O$7,IF(S13&gt;='制度参数'!$N$6,'制度参数'!$O$6,'制度参数'!$O$5)))</x:f>
        <x:v>1.1</x:v>
      </x:c>
      <x:c r="U13" s="37" t="n">
        <x:f>SUMIFS('质检计算'!$J$5:$J$76,'质检计算'!$B$5:$B$76,A13)</x:f>
        <x:v>0</x:v>
      </x:c>
      <x:c r="V13" s="27" t="n">
        <x:f>J13+P13*T13-U13</x:f>
        <x:v>477.27</x:v>
      </x:c>
      <x:c r="W13" s="27" t="n">
        <x:f>V13*G13</x:f>
        <x:v>477.27</x:v>
      </x:c>
      <x:c r="X13" s="37" t="n">
        <x:f>VLOOKUP(C13,'制度参数'!$A$5:$C$7,3,FALSE)</x:f>
        <x:v>1400</x:v>
      </x:c>
      <x:c r="Y13" s="27" t="n">
        <x:f>IF(H13=0,0,ROUND(MIN(MAX(W13,0),X13),2))</x:f>
        <x:v>477.27</x:v>
      </x:c>
    </x:row>
    <x:row r="14" ht="24" customHeight="1">
      <x:c r="A14" s="9" t="str">
        <x:v>CS110</x:v>
      </x:c>
      <x:c r="B14" s="9" t="str">
        <x:v>模拟客服10</x:v>
      </x:c>
      <x:c r="C14" s="9" t="str">
        <x:v>电话客服</x:v>
      </x:c>
      <x:c r="D14" s="9" t="str">
        <x:v>正式</x:v>
      </x:c>
      <x:c r="E14" s="34" t="n">
        <x:v>22</x:v>
      </x:c>
      <x:c r="F14" s="34" t="n">
        <x:v>22</x:v>
      </x:c>
      <x:c r="G14" s="36" t="n">
        <x:f>VLOOKUP(D14,'制度参数'!$E$5:$F$7,2,FALSE)</x:f>
        <x:v>1</x:v>
      </x:c>
      <x:c r="H14" s="9" t="n">
        <x:f>IF(AND(G14&gt;0,F14&gt;0),1,0)</x:f>
        <x:v>1</x:v>
      </x:c>
      <x:c r="I14" s="38" t="n">
        <x:f>VLOOKUP(C14,'制度参数'!$A$5:$C$7,2,FALSE)</x:f>
        <x:v>360</x:v>
      </x:c>
      <x:c r="J14" s="28" t="n">
        <x:f>IF(H14=1,ROUND(I14*F14/E14,2),0)</x:f>
        <x:v>360</x:v>
      </x:c>
      <x:c r="K14" s="40" t="n">
        <x:f>SUMIFS('工单计算'!$L$5:$L$182,'工单计算'!$B$5:$B$182,A14)</x:f>
        <x:v>15</x:v>
      </x:c>
      <x:c r="L14" s="42" t="n">
        <x:f>SUMIFS('工单计算'!$P$5:$P$182,'工单计算'!$B$5:$B$182,A14)</x:f>
        <x:v>32.99999999999999</x:v>
      </x:c>
      <x:c r="M14" s="32" t="n">
        <x:f>IF(K14=0,0,L14/K14)</x:f>
        <x:v>2.1999999999999997</x:v>
      </x:c>
      <x:c r="N14" s="40" t="n">
        <x:f>SUMIFS('工单计算'!$Q$5:$Q$182,'工单计算'!$B$5:$B$182,A14)</x:f>
        <x:v>0</x:v>
      </x:c>
      <x:c r="O14" s="38" t="n">
        <x:f>MIN(K14,'制度参数'!$B$15)*'制度参数'!$B$17+MIN(MAX(K14-'制度参数'!$B$15,0),'制度参数'!$B$16-'制度参数'!$B$15)*'制度参数'!$B$18+MAX(K14-'制度参数'!$B$16,0)*'制度参数'!$B$19</x:f>
        <x:v>550</x:v>
      </x:c>
      <x:c r="P14" s="38" t="n">
        <x:f>MAX(ROUND(O14*M14-N14*'制度参数'!$B$20,2),0)</x:f>
        <x:v>1210</x:v>
      </x:c>
      <x:c r="Q14" s="40" t="n">
        <x:f>SUMIFS('质检计算'!$H$5:$H$76,'质检计算'!$B$5:$B$76,A14)</x:f>
        <x:v>3</x:v>
      </x:c>
      <x:c r="R14" s="40" t="n">
        <x:f>SUMIFS('质检计算'!$I$5:$I$76,'质检计算'!$B$5:$B$76,A14)</x:f>
        <x:v>291</x:v>
      </x:c>
      <x:c r="S14" s="32" t="n">
        <x:f>IF(Q14&gt;0,R14/Q14,NA())</x:f>
        <x:v>97</x:v>
      </x:c>
      <x:c r="T14" s="36" t="n">
        <x:f>IF(S14&gt;='制度参数'!$N$8,'制度参数'!$O$8,IF(S14&gt;='制度参数'!$N$7,'制度参数'!$O$7,IF(S14&gt;='制度参数'!$N$6,'制度参数'!$O$6,'制度参数'!$O$5)))</x:f>
        <x:v>1.1</x:v>
      </x:c>
      <x:c r="U14" s="38" t="n">
        <x:f>SUMIFS('质检计算'!$J$5:$J$76,'质检计算'!$B$5:$B$76,A14)</x:f>
        <x:v>0</x:v>
      </x:c>
      <x:c r="V14" s="28" t="n">
        <x:f>J14+P14*T14-U14</x:f>
        <x:v>1691</x:v>
      </x:c>
      <x:c r="W14" s="28" t="n">
        <x:f>V14*G14</x:f>
        <x:v>1691</x:v>
      </x:c>
      <x:c r="X14" s="38" t="n">
        <x:f>VLOOKUP(C14,'制度参数'!$A$5:$C$7,3,FALSE)</x:f>
        <x:v>1000</x:v>
      </x:c>
      <x:c r="Y14" s="28" t="n">
        <x:f>IF(H14=0,0,ROUND(MIN(MAX(W14,0),X14),2))</x:f>
        <x:v>1000</x:v>
      </x:c>
    </x:row>
    <x:row r="15" ht="24" customHeight="1">
      <x:c r="A15" s="1" t="str">
        <x:v>CS111</x:v>
      </x:c>
      <x:c r="B15" s="1" t="str">
        <x:v>模拟客服11</x:v>
      </x:c>
      <x:c r="C15" s="1" t="str">
        <x:v>电话客服</x:v>
      </x:c>
      <x:c r="D15" s="1" t="str">
        <x:v>正式</x:v>
      </x:c>
      <x:c r="E15" s="33" t="n">
        <x:v>22</x:v>
      </x:c>
      <x:c r="F15" s="33" t="n">
        <x:v>21.5</x:v>
      </x:c>
      <x:c r="G15" s="35" t="n">
        <x:f>VLOOKUP(D15,'制度参数'!$E$5:$F$7,2,FALSE)</x:f>
        <x:v>1</x:v>
      </x:c>
      <x:c r="H15" s="1" t="n">
        <x:f>IF(AND(G15&gt;0,F15&gt;0),1,0)</x:f>
        <x:v>1</x:v>
      </x:c>
      <x:c r="I15" s="37" t="n">
        <x:f>VLOOKUP(C15,'制度参数'!$A$5:$C$7,2,FALSE)</x:f>
        <x:v>360</x:v>
      </x:c>
      <x:c r="J15" s="27" t="n">
        <x:f>IF(H15=1,ROUND(I15*F15/E15,2),0)</x:f>
        <x:v>351.82</x:v>
      </x:c>
      <x:c r="K15" s="39" t="n">
        <x:f>SUMIFS('工单计算'!$L$5:$L$182,'工单计算'!$B$5:$B$182,A15)</x:f>
        <x:v>7</x:v>
      </x:c>
      <x:c r="L15" s="41" t="n">
        <x:f>SUMIFS('工单计算'!$P$5:$P$182,'工单计算'!$B$5:$B$182,A15)</x:f>
        <x:v>9</x:v>
      </x:c>
      <x:c r="M15" s="31" t="n">
        <x:f>IF(K15=0,0,L15/K15)</x:f>
        <x:v>1.2857142857142858</x:v>
      </x:c>
      <x:c r="N15" s="39" t="n">
        <x:f>SUMIFS('工单计算'!$Q$5:$Q$182,'工单计算'!$B$5:$B$182,A15)</x:f>
        <x:v>4</x:v>
      </x:c>
      <x:c r="O15" s="37" t="n">
        <x:f>MIN(K15,'制度参数'!$B$15)*'制度参数'!$B$17+MIN(MAX(K15-'制度参数'!$B$15,0),'制度参数'!$B$16-'制度参数'!$B$15)*'制度参数'!$B$18+MAX(K15-'制度参数'!$B$16,0)*'制度参数'!$B$19</x:f>
        <x:v>195</x:v>
      </x:c>
      <x:c r="P15" s="37" t="n">
        <x:f>MAX(ROUND(O15*M15-N15*'制度参数'!$B$20,2),0)</x:f>
        <x:v>218.71</x:v>
      </x:c>
      <x:c r="Q15" s="39" t="n">
        <x:f>SUMIFS('质检计算'!$H$5:$H$76,'质检计算'!$B$5:$B$76,A15)</x:f>
        <x:v>3</x:v>
      </x:c>
      <x:c r="R15" s="39" t="n">
        <x:f>SUMIFS('质检计算'!$I$5:$I$76,'质检计算'!$B$5:$B$76,A15)</x:f>
        <x:v>258</x:v>
      </x:c>
      <x:c r="S15" s="31" t="n">
        <x:f>IF(Q15&gt;0,R15/Q15,NA())</x:f>
        <x:v>86</x:v>
      </x:c>
      <x:c r="T15" s="35" t="n">
        <x:f>IF(S15&gt;='制度参数'!$N$8,'制度参数'!$O$8,IF(S15&gt;='制度参数'!$N$7,'制度参数'!$O$7,IF(S15&gt;='制度参数'!$N$6,'制度参数'!$O$6,'制度参数'!$O$5)))</x:f>
        <x:v>1</x:v>
      </x:c>
      <x:c r="U15" s="37" t="n">
        <x:f>SUMIFS('质检计算'!$J$5:$J$76,'质检计算'!$B$5:$B$76,A15)</x:f>
        <x:v>20</x:v>
      </x:c>
      <x:c r="V15" s="27" t="n">
        <x:f>J15+P15*T15-U15</x:f>
        <x:v>550.53</x:v>
      </x:c>
      <x:c r="W15" s="27" t="n">
        <x:f>V15*G15</x:f>
        <x:v>550.53</x:v>
      </x:c>
      <x:c r="X15" s="37" t="n">
        <x:f>VLOOKUP(C15,'制度参数'!$A$5:$C$7,3,FALSE)</x:f>
        <x:v>1000</x:v>
      </x:c>
      <x:c r="Y15" s="27" t="n">
        <x:f>IF(H15=0,0,ROUND(MIN(MAX(W15,0),X15),2))</x:f>
        <x:v>550.53</x:v>
      </x:c>
    </x:row>
    <x:row r="16" ht="24" customHeight="1">
      <x:c r="A16" s="9" t="str">
        <x:v>CS112</x:v>
      </x:c>
      <x:c r="B16" s="9" t="str">
        <x:v>模拟客服12</x:v>
      </x:c>
      <x:c r="C16" s="9" t="str">
        <x:v>技术客服</x:v>
      </x:c>
      <x:c r="D16" s="9" t="str">
        <x:v>正式</x:v>
      </x:c>
      <x:c r="E16" s="34" t="n">
        <x:v>22</x:v>
      </x:c>
      <x:c r="F16" s="34" t="n">
        <x:v>19</x:v>
      </x:c>
      <x:c r="G16" s="36" t="n">
        <x:f>VLOOKUP(D16,'制度参数'!$E$5:$F$7,2,FALSE)</x:f>
        <x:v>1</x:v>
      </x:c>
      <x:c r="H16" s="9" t="n">
        <x:f>IF(AND(G16&gt;0,F16&gt;0),1,0)</x:f>
        <x:v>1</x:v>
      </x:c>
      <x:c r="I16" s="38" t="n">
        <x:f>VLOOKUP(C16,'制度参数'!$A$5:$C$7,2,FALSE)</x:f>
        <x:v>500</x:v>
      </x:c>
      <x:c r="J16" s="28" t="n">
        <x:f>IF(H16=1,ROUND(I16*F16/E16,2),0)</x:f>
        <x:v>431.82</x:v>
      </x:c>
      <x:c r="K16" s="40" t="n">
        <x:f>SUMIFS('工单计算'!$L$5:$L$182,'工单计算'!$B$5:$B$182,A16)</x:f>
        <x:v>13</x:v>
      </x:c>
      <x:c r="L16" s="42" t="n">
        <x:f>SUMIFS('工单计算'!$P$5:$P$182,'工单计算'!$B$5:$B$182,A16)</x:f>
        <x:v>28.599999999999994</x:v>
      </x:c>
      <x:c r="M16" s="32" t="n">
        <x:f>IF(K16=0,0,L16/K16)</x:f>
        <x:v>2.1999999999999997</x:v>
      </x:c>
      <x:c r="N16" s="40" t="n">
        <x:f>SUMIFS('工单计算'!$Q$5:$Q$182,'工单计算'!$B$5:$B$182,A16)</x:f>
        <x:v>0</x:v>
      </x:c>
      <x:c r="O16" s="38" t="n">
        <x:f>MIN(K16,'制度参数'!$B$15)*'制度参数'!$B$17+MIN(MAX(K16-'制度参数'!$B$15,0),'制度参数'!$B$16-'制度参数'!$B$15)*'制度参数'!$B$18+MAX(K16-'制度参数'!$B$16,0)*'制度参数'!$B$19</x:f>
        <x:v>450</x:v>
      </x:c>
      <x:c r="P16" s="38" t="n">
        <x:f>MAX(ROUND(O16*M16-N16*'制度参数'!$B$20,2),0)</x:f>
        <x:v>990</x:v>
      </x:c>
      <x:c r="Q16" s="40" t="n">
        <x:f>SUMIFS('质检计算'!$H$5:$H$76,'质检计算'!$B$5:$B$76,A16)</x:f>
        <x:v>3</x:v>
      </x:c>
      <x:c r="R16" s="40" t="n">
        <x:f>SUMIFS('质检计算'!$I$5:$I$76,'质检计算'!$B$5:$B$76,A16)</x:f>
        <x:v>294</x:v>
      </x:c>
      <x:c r="S16" s="32" t="n">
        <x:f>IF(Q16&gt;0,R16/Q16,NA())</x:f>
        <x:v>98</x:v>
      </x:c>
      <x:c r="T16" s="36" t="n">
        <x:f>IF(S16&gt;='制度参数'!$N$8,'制度参数'!$O$8,IF(S16&gt;='制度参数'!$N$7,'制度参数'!$O$7,IF(S16&gt;='制度参数'!$N$6,'制度参数'!$O$6,'制度参数'!$O$5)))</x:f>
        <x:v>1.1</x:v>
      </x:c>
      <x:c r="U16" s="38" t="n">
        <x:f>SUMIFS('质检计算'!$J$5:$J$76,'质检计算'!$B$5:$B$76,A16)</x:f>
        <x:v>0</x:v>
      </x:c>
      <x:c r="V16" s="28" t="n">
        <x:f>J16+P16*T16-U16</x:f>
        <x:v>1520.82</x:v>
      </x:c>
      <x:c r="W16" s="28" t="n">
        <x:f>V16*G16</x:f>
        <x:v>1520.82</x:v>
      </x:c>
      <x:c r="X16" s="38" t="n">
        <x:f>VLOOKUP(C16,'制度参数'!$A$5:$C$7,3,FALSE)</x:f>
        <x:v>1400</x:v>
      </x:c>
      <x:c r="Y16" s="28" t="n">
        <x:f>IF(H16=0,0,ROUND(MIN(MAX(W16,0),X16),2))</x:f>
        <x:v>1400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  <x:col min="9" max="9" width="18" hidden="0" customWidth="1"/>
    <x:col min="10" max="10" width="23" hidden="0" customWidth="1"/>
    <x:col min="11" max="11" width="23" hidden="0" customWidth="1"/>
    <x:col min="12" max="12" width="23" hidden="0" customWidth="1"/>
    <x:col min="13" max="13" width="18" hidden="0" customWidth="1"/>
    <x:col min="14" max="14" width="25" hidden="0" customWidth="1"/>
    <x:col min="15" max="15" width="18" hidden="0" customWidth="1"/>
    <x:col min="16" max="16" width="24" hidden="0" customWidth="1"/>
    <x:col min="17" max="17" width="23" hidden="0" customWidth="1"/>
    <x:col min="18" max="18" width="3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8" customHeight="1">
      <x:c r="A2" s="2" t="str">
        <x:v>工单筛选与积分计算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2" customHeight="1">
      <x:c r="A3" s="3" t="str">
        <x:v>原始记录来源：04_客服验收业务数据.xlsx“工单明细”。日期、状态、复核及人员资格同时满足才计件。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34" customHeight="1">
      <x:c r="A4" s="8" t="str">
        <x:v>工单编号</x:v>
      </x:c>
      <x:c r="B4" s="8" t="str">
        <x:v>工号</x:v>
      </x:c>
      <x:c r="C4" s="8" t="str">
        <x:v>关闭日期</x:v>
      </x:c>
      <x:c r="D4" s="8" t="str">
        <x:v>工单状态</x:v>
      </x:c>
      <x:c r="E4" s="8" t="str">
        <x:v>复核结论</x:v>
      </x:c>
      <x:c r="F4" s="8" t="str">
        <x:v>工单类别</x:v>
      </x:c>
      <x:c r="G4" s="8" t="str">
        <x:v>难度级别</x:v>
      </x:c>
      <x:c r="H4" s="8" t="str">
        <x:v>处理耗时（分钟）</x:v>
      </x:c>
      <x:c r="I4" s="8" t="str">
        <x:v>返工次数</x:v>
      </x:c>
      <x:c r="J4" s="8" t="str">
        <x:v>业务条件合格</x:v>
      </x:c>
      <x:c r="K4" s="8" t="str">
        <x:v>人员计奖资格</x:v>
      </x:c>
      <x:c r="L4" s="8" t="str">
        <x:v>有效计件标记</x:v>
      </x:c>
      <x:c r="M4" s="8" t="str">
        <x:v>难度系数</x:v>
      </x:c>
      <x:c r="N4" s="8" t="str">
        <x:v>时效标准（分钟）</x:v>
      </x:c>
      <x:c r="O4" s="8" t="str">
        <x:v>时效系数</x:v>
      </x:c>
      <x:c r="P4" s="8" t="str">
        <x:v>难度时效积分</x:v>
      </x:c>
      <x:c r="Q4" s="8" t="str">
        <x:v>计奖返工次数</x:v>
      </x:c>
      <x:c r="R4" s="8" t="str">
        <x:v>筛选说明</x:v>
      </x:c>
    </x:row>
    <x:row r="5" ht="24" customHeight="1">
      <x:c r="A5" s="1" t="str">
        <x:v>T101-001</x:v>
      </x:c>
      <x:c r="B5" s="1" t="str">
        <x:v>CS101</x:v>
      </x:c>
      <x:c r="C5" s="12" t="n">
        <x:v>46266</x:v>
      </x:c>
      <x:c r="D5" s="1" t="str">
        <x:v>已关闭</x:v>
      </x:c>
      <x:c r="E5" s="1" t="str">
        <x:v>有效</x:v>
      </x:c>
      <x:c r="F5" s="1" t="str">
        <x:v>咨询</x:v>
      </x:c>
      <x:c r="G5" s="1" t="str">
        <x:v>普通</x:v>
      </x:c>
      <x:c r="H5" s="14" t="n">
        <x:v>30</x:v>
      </x:c>
      <x:c r="I5" s="1" t="n">
        <x:v>0</x:v>
      </x:c>
      <x:c r="J5" s="39" t="n">
        <x:f>IF(AND(C5&gt;='制度参数'!$B$13,C5&lt;='制度参数'!$B$14,D5="已关闭",E5="有效"),1,0)</x:f>
        <x:v>1</x:v>
      </x:c>
      <x:c r="K5" s="39" t="n">
        <x:f>VLOOKUP(B5,'员工计算'!$A$5:$H$16,8,FALSE)</x:f>
        <x:v>1</x:v>
      </x:c>
      <x:c r="L5" s="1" t="n">
        <x:f>J5*K5</x:f>
        <x:v>1</x:v>
      </x:c>
      <x:c r="M5" s="41" t="n">
        <x:f>VLOOKUP(G5,'制度参数'!$H$5:$I$7,2,FALSE)</x:f>
        <x:v>1</x:v>
      </x:c>
      <x:c r="N5" s="39" t="n">
        <x:f>VLOOKUP(F5,'制度参数'!$K$5:$L$7,2,FALSE)</x:f>
        <x:v>30</x:v>
      </x:c>
      <x:c r="O5" s="41" t="n">
        <x:f>IF(H5&lt;=N5,'制度参数'!$B$21,IF(H5&lt;=N5*'制度参数'!$B$24,'制度参数'!$B$22,'制度参数'!$B$23))</x:f>
        <x:v>1.1</x:v>
      </x:c>
      <x:c r="P5" s="31" t="n">
        <x:f>L5*M5*O5</x:f>
        <x:v>1.1</x:v>
      </x:c>
      <x:c r="Q5" s="1" t="n">
        <x:f>L5*I5</x:f>
        <x:v>0</x:v>
      </x:c>
      <x:c r="R5" s="39" t="str">
        <x:f>IF(L5=1,"有效计件",IF(J5=1,"人员无计奖资格",IF(OR(C5&lt;'制度参数'!$B$13,C5&gt;'制度参数'!$B$14),"关闭日期不在本月",IF(D5&lt;&gt;"已关闭","非已关闭","复核非有效"))))</x:f>
        <x:v>有效计件</x:v>
      </x:c>
    </x:row>
    <x:row r="6" ht="24" customHeight="1">
      <x:c r="A6" s="9" t="str">
        <x:v>T101-002</x:v>
      </x:c>
      <x:c r="B6" s="9" t="str">
        <x:v>CS101</x:v>
      </x:c>
      <x:c r="C6" s="13" t="n">
        <x:v>46268</x:v>
      </x:c>
      <x:c r="D6" s="9" t="str">
        <x:v>已关闭</x:v>
      </x:c>
      <x:c r="E6" s="9" t="str">
        <x:v>有效</x:v>
      </x:c>
      <x:c r="F6" s="9" t="str">
        <x:v>投诉</x:v>
      </x:c>
      <x:c r="G6" s="9" t="str">
        <x:v>紧急</x:v>
      </x:c>
      <x:c r="H6" s="15" t="n">
        <x:v>240</x:v>
      </x:c>
      <x:c r="I6" s="9" t="n">
        <x:v>1</x:v>
      </x:c>
      <x:c r="J6" s="40" t="n">
        <x:f>IF(AND(C6&gt;='制度参数'!$B$13,C6&lt;='制度参数'!$B$14,D6="已关闭",E6="有效"),1,0)</x:f>
        <x:v>1</x:v>
      </x:c>
      <x:c r="K6" s="40" t="n">
        <x:f>VLOOKUP(B6,'员工计算'!$A$5:$H$16,8,FALSE)</x:f>
        <x:v>1</x:v>
      </x:c>
      <x:c r="L6" s="9" t="n">
        <x:f>J6*K6</x:f>
        <x:v>1</x:v>
      </x:c>
      <x:c r="M6" s="42" t="n">
        <x:f>VLOOKUP(G6,'制度参数'!$H$5:$I$7,2,FALSE)</x:f>
        <x:v>2</x:v>
      </x:c>
      <x:c r="N6" s="40" t="n">
        <x:f>VLOOKUP(F6,'制度参数'!$K$5:$L$7,2,FALSE)</x:f>
        <x:v>120</x:v>
      </x:c>
      <x:c r="O6" s="42" t="n">
        <x:f>IF(H6&lt;=N6,'制度参数'!$B$21,IF(H6&lt;=N6*'制度参数'!$B$24,'制度参数'!$B$22,'制度参数'!$B$23))</x:f>
        <x:v>0.8</x:v>
      </x:c>
      <x:c r="P6" s="32" t="n">
        <x:f>L6*M6*O6</x:f>
        <x:v>1.6</x:v>
      </x:c>
      <x:c r="Q6" s="9" t="n">
        <x:f>L6*I6</x:f>
        <x:v>1</x:v>
      </x:c>
      <x:c r="R6" s="40" t="str">
        <x:f>IF(L6=1,"有效计件",IF(J6=1,"人员无计奖资格",IF(OR(C6&lt;'制度参数'!$B$13,C6&gt;'制度参数'!$B$14),"关闭日期不在本月",IF(D6&lt;&gt;"已关闭","非已关闭","复核非有效"))))</x:f>
        <x:v>有效计件</x:v>
      </x:c>
    </x:row>
    <x:row r="7" ht="24" customHeight="1">
      <x:c r="A7" s="1" t="str">
        <x:v>T101-003</x:v>
      </x:c>
      <x:c r="B7" s="1" t="str">
        <x:v>CS101</x:v>
      </x:c>
      <x:c r="C7" s="12" t="n">
        <x:v>46270</x:v>
      </x:c>
      <x:c r="D7" s="1" t="str">
        <x:v>已关闭</x:v>
      </x:c>
      <x:c r="E7" s="1" t="str">
        <x:v>有效</x:v>
      </x:c>
      <x:c r="F7" s="1" t="str">
        <x:v>技术</x:v>
      </x:c>
      <x:c r="G7" s="1" t="str">
        <x:v>复杂</x:v>
      </x:c>
      <x:c r="H7" s="14" t="n">
        <x:v>482.4</x:v>
      </x:c>
      <x:c r="I7" s="1" t="n">
        <x:v>0</x:v>
      </x:c>
      <x:c r="J7" s="39" t="n">
        <x:f>IF(AND(C7&gt;='制度参数'!$B$13,C7&lt;='制度参数'!$B$14,D7="已关闭",E7="有效"),1,0)</x:f>
        <x:v>1</x:v>
      </x:c>
      <x:c r="K7" s="39" t="n">
        <x:f>VLOOKUP(B7,'员工计算'!$A$5:$H$16,8,FALSE)</x:f>
        <x:v>1</x:v>
      </x:c>
      <x:c r="L7" s="1" t="n">
        <x:f>J7*K7</x:f>
        <x:v>1</x:v>
      </x:c>
      <x:c r="M7" s="41" t="n">
        <x:f>VLOOKUP(G7,'制度参数'!$H$5:$I$7,2,FALSE)</x:f>
        <x:v>1.5</x:v>
      </x:c>
      <x:c r="N7" s="39" t="n">
        <x:f>VLOOKUP(F7,'制度参数'!$K$5:$L$7,2,FALSE)</x:f>
        <x:v>240</x:v>
      </x:c>
      <x:c r="O7" s="41" t="n">
        <x:f>IF(H7&lt;=N7,'制度参数'!$B$21,IF(H7&lt;=N7*'制度参数'!$B$24,'制度参数'!$B$22,'制度参数'!$B$23))</x:f>
        <x:v>0.5</x:v>
      </x:c>
      <x:c r="P7" s="31" t="n">
        <x:f>L7*M7*O7</x:f>
        <x:v>0.75</x:v>
      </x:c>
      <x:c r="Q7" s="1" t="n">
        <x:f>L7*I7</x:f>
        <x:v>0</x:v>
      </x:c>
      <x:c r="R7" s="39" t="str">
        <x:f>IF(L7=1,"有效计件",IF(J7=1,"人员无计奖资格",IF(OR(C7&lt;'制度参数'!$B$13,C7&gt;'制度参数'!$B$14),"关闭日期不在本月",IF(D7&lt;&gt;"已关闭","非已关闭","复核非有效"))))</x:f>
        <x:v>有效计件</x:v>
      </x:c>
    </x:row>
    <x:row r="8" ht="24" customHeight="1">
      <x:c r="A8" s="9" t="str">
        <x:v>T101-004</x:v>
      </x:c>
      <x:c r="B8" s="9" t="str">
        <x:v>CS101</x:v>
      </x:c>
      <x:c r="C8" s="13" t="n">
        <x:v>46272</x:v>
      </x:c>
      <x:c r="D8" s="9" t="str">
        <x:v>已关闭</x:v>
      </x:c>
      <x:c r="E8" s="9" t="str">
        <x:v>有效</x:v>
      </x:c>
      <x:c r="F8" s="9" t="str">
        <x:v>咨询</x:v>
      </x:c>
      <x:c r="G8" s="9" t="str">
        <x:v>普通</x:v>
      </x:c>
      <x:c r="H8" s="15" t="n">
        <x:v>24</x:v>
      </x:c>
      <x:c r="I8" s="9" t="n">
        <x:v>2</x:v>
      </x:c>
      <x:c r="J8" s="40" t="n">
        <x:f>IF(AND(C8&gt;='制度参数'!$B$13,C8&lt;='制度参数'!$B$14,D8="已关闭",E8="有效"),1,0)</x:f>
        <x:v>1</x:v>
      </x:c>
      <x:c r="K8" s="40" t="n">
        <x:f>VLOOKUP(B8,'员工计算'!$A$5:$H$16,8,FALSE)</x:f>
        <x:v>1</x:v>
      </x:c>
      <x:c r="L8" s="9" t="n">
        <x:f>J8*K8</x:f>
        <x:v>1</x:v>
      </x:c>
      <x:c r="M8" s="42" t="n">
        <x:f>VLOOKUP(G8,'制度参数'!$H$5:$I$7,2,FALSE)</x:f>
        <x:v>1</x:v>
      </x:c>
      <x:c r="N8" s="40" t="n">
        <x:f>VLOOKUP(F8,'制度参数'!$K$5:$L$7,2,FALSE)</x:f>
        <x:v>30</x:v>
      </x:c>
      <x:c r="O8" s="42" t="n">
        <x:f>IF(H8&lt;=N8,'制度参数'!$B$21,IF(H8&lt;=N8*'制度参数'!$B$24,'制度参数'!$B$22,'制度参数'!$B$23))</x:f>
        <x:v>1.1</x:v>
      </x:c>
      <x:c r="P8" s="32" t="n">
        <x:f>L8*M8*O8</x:f>
        <x:v>1.1</x:v>
      </x:c>
      <x:c r="Q8" s="9" t="n">
        <x:f>L8*I8</x:f>
        <x:v>2</x:v>
      </x:c>
      <x:c r="R8" s="40" t="str">
        <x:f>IF(L8=1,"有效计件",IF(J8=1,"人员无计奖资格",IF(OR(C8&lt;'制度参数'!$B$13,C8&gt;'制度参数'!$B$14),"关闭日期不在本月",IF(D8&lt;&gt;"已关闭","非已关闭","复核非有效"))))</x:f>
        <x:v>有效计件</x:v>
      </x:c>
    </x:row>
    <x:row r="9" ht="24" customHeight="1">
      <x:c r="A9" s="1" t="str">
        <x:v>T101-005</x:v>
      </x:c>
      <x:c r="B9" s="1" t="str">
        <x:v>CS101</x:v>
      </x:c>
      <x:c r="C9" s="12" t="n">
        <x:v>46274</x:v>
      </x:c>
      <x:c r="D9" s="1" t="str">
        <x:v>处理中</x:v>
      </x:c>
      <x:c r="E9" s="1" t="str">
        <x:v>有效</x:v>
      </x:c>
      <x:c r="F9" s="1" t="str">
        <x:v>投诉</x:v>
      </x:c>
      <x:c r="G9" s="1" t="str">
        <x:v>紧急</x:v>
      </x:c>
      <x:c r="H9" s="14" t="n">
        <x:v>180</x:v>
      </x:c>
      <x:c r="I9" s="1" t="n">
        <x:v>0</x:v>
      </x:c>
      <x:c r="J9" s="39" t="n">
        <x:f>IF(AND(C9&gt;='制度参数'!$B$13,C9&lt;='制度参数'!$B$14,D9="已关闭",E9="有效"),1,0)</x:f>
        <x:v>0</x:v>
      </x:c>
      <x:c r="K9" s="39" t="n">
        <x:f>VLOOKUP(B9,'员工计算'!$A$5:$H$16,8,FALSE)</x:f>
        <x:v>1</x:v>
      </x:c>
      <x:c r="L9" s="1" t="n">
        <x:f>J9*K9</x:f>
        <x:v>0</x:v>
      </x:c>
      <x:c r="M9" s="41" t="n">
        <x:f>VLOOKUP(G9,'制度参数'!$H$5:$I$7,2,FALSE)</x:f>
        <x:v>2</x:v>
      </x:c>
      <x:c r="N9" s="39" t="n">
        <x:f>VLOOKUP(F9,'制度参数'!$K$5:$L$7,2,FALSE)</x:f>
        <x:v>120</x:v>
      </x:c>
      <x:c r="O9" s="41" t="n">
        <x:f>IF(H9&lt;=N9,'制度参数'!$B$21,IF(H9&lt;=N9*'制度参数'!$B$24,'制度参数'!$B$22,'制度参数'!$B$23))</x:f>
        <x:v>0.8</x:v>
      </x:c>
      <x:c r="P9" s="31" t="n">
        <x:f>L9*M9*O9</x:f>
        <x:v>0</x:v>
      </x:c>
      <x:c r="Q9" s="1" t="n">
        <x:f>L9*I9</x:f>
        <x:v>0</x:v>
      </x:c>
      <x:c r="R9" s="39" t="str">
        <x:f>IF(L9=1,"有效计件",IF(J9=1,"人员无计奖资格",IF(OR(C9&lt;'制度参数'!$B$13,C9&gt;'制度参数'!$B$14),"关闭日期不在本月",IF(D9&lt;&gt;"已关闭","非已关闭","复核非有效"))))</x:f>
        <x:v>非已关闭</x:v>
      </x:c>
    </x:row>
    <x:row r="10" ht="24" customHeight="1">
      <x:c r="A10" s="9" t="str">
        <x:v>T101-006</x:v>
      </x:c>
      <x:c r="B10" s="9" t="str">
        <x:v>CS101</x:v>
      </x:c>
      <x:c r="C10" s="13" t="n">
        <x:v>46276</x:v>
      </x:c>
      <x:c r="D10" s="9" t="str">
        <x:v>已作废</x:v>
      </x:c>
      <x:c r="E10" s="9" t="str">
        <x:v>有效</x:v>
      </x:c>
      <x:c r="F10" s="9" t="str">
        <x:v>技术</x:v>
      </x:c>
      <x:c r="G10" s="9" t="str">
        <x:v>复杂</x:v>
      </x:c>
      <x:c r="H10" s="15" t="n">
        <x:v>720</x:v>
      </x:c>
      <x:c r="I10" s="9" t="n">
        <x:v>0</x:v>
      </x:c>
      <x:c r="J10" s="40" t="n">
        <x:f>IF(AND(C10&gt;='制度参数'!$B$13,C10&lt;='制度参数'!$B$14,D10="已关闭",E10="有效"),1,0)</x:f>
        <x:v>0</x:v>
      </x:c>
      <x:c r="K10" s="40" t="n">
        <x:f>VLOOKUP(B10,'员工计算'!$A$5:$H$16,8,FALSE)</x:f>
        <x:v>1</x:v>
      </x:c>
      <x:c r="L10" s="9" t="n">
        <x:f>J10*K10</x:f>
        <x:v>0</x:v>
      </x:c>
      <x:c r="M10" s="42" t="n">
        <x:f>VLOOKUP(G10,'制度参数'!$H$5:$I$7,2,FALSE)</x:f>
        <x:v>1.5</x:v>
      </x:c>
      <x:c r="N10" s="40" t="n">
        <x:f>VLOOKUP(F10,'制度参数'!$K$5:$L$7,2,FALSE)</x:f>
        <x:v>240</x:v>
      </x:c>
      <x:c r="O10" s="42" t="n">
        <x:f>IF(H10&lt;=N10,'制度参数'!$B$21,IF(H10&lt;=N10*'制度参数'!$B$24,'制度参数'!$B$22,'制度参数'!$B$23))</x:f>
        <x:v>0.5</x:v>
      </x:c>
      <x:c r="P10" s="32" t="n">
        <x:f>L10*M10*O10</x:f>
        <x:v>0</x:v>
      </x:c>
      <x:c r="Q10" s="9" t="n">
        <x:f>L10*I10</x:f>
        <x:v>0</x:v>
      </x:c>
      <x:c r="R10" s="40" t="str">
        <x:f>IF(L10=1,"有效计件",IF(J10=1,"人员无计奖资格",IF(OR(C10&lt;'制度参数'!$B$13,C10&gt;'制度参数'!$B$14),"关闭日期不在本月",IF(D10&lt;&gt;"已关闭","非已关闭","复核非有效"))))</x:f>
        <x:v>非已关闭</x:v>
      </x:c>
    </x:row>
    <x:row r="11" ht="24" customHeight="1">
      <x:c r="A11" s="1" t="str">
        <x:v>T101-007</x:v>
      </x:c>
      <x:c r="B11" s="1" t="str">
        <x:v>CS101</x:v>
      </x:c>
      <x:c r="C11" s="12" t="n">
        <x:v>46265</x:v>
      </x:c>
      <x:c r="D11" s="1" t="str">
        <x:v>已关闭</x:v>
      </x:c>
      <x:c r="E11" s="1" t="str">
        <x:v>有效</x:v>
      </x:c>
      <x:c r="F11" s="1" t="str">
        <x:v>咨询</x:v>
      </x:c>
      <x:c r="G11" s="1" t="str">
        <x:v>普通</x:v>
      </x:c>
      <x:c r="H11" s="14" t="n">
        <x:v>30</x:v>
      </x:c>
      <x:c r="I11" s="1" t="n">
        <x:v>1</x:v>
      </x:c>
      <x:c r="J11" s="39" t="n">
        <x:f>IF(AND(C11&gt;='制度参数'!$B$13,C11&lt;='制度参数'!$B$14,D11="已关闭",E11="有效"),1,0)</x:f>
        <x:v>0</x:v>
      </x:c>
      <x:c r="K11" s="39" t="n">
        <x:f>VLOOKUP(B11,'员工计算'!$A$5:$H$16,8,FALSE)</x:f>
        <x:v>1</x:v>
      </x:c>
      <x:c r="L11" s="1" t="n">
        <x:f>J11*K11</x:f>
        <x:v>0</x:v>
      </x:c>
      <x:c r="M11" s="41" t="n">
        <x:f>VLOOKUP(G11,'制度参数'!$H$5:$I$7,2,FALSE)</x:f>
        <x:v>1</x:v>
      </x:c>
      <x:c r="N11" s="39" t="n">
        <x:f>VLOOKUP(F11,'制度参数'!$K$5:$L$7,2,FALSE)</x:f>
        <x:v>30</x:v>
      </x:c>
      <x:c r="O11" s="41" t="n">
        <x:f>IF(H11&lt;=N11,'制度参数'!$B$21,IF(H11&lt;=N11*'制度参数'!$B$24,'制度参数'!$B$22,'制度参数'!$B$23))</x:f>
        <x:v>1.1</x:v>
      </x:c>
      <x:c r="P11" s="31" t="n">
        <x:f>L11*M11*O11</x:f>
        <x:v>0</x:v>
      </x:c>
      <x:c r="Q11" s="1" t="n">
        <x:f>L11*I11</x:f>
        <x:v>0</x:v>
      </x:c>
      <x:c r="R11" s="39" t="str">
        <x:f>IF(L11=1,"有效计件",IF(J11=1,"人员无计奖资格",IF(OR(C11&lt;'制度参数'!$B$13,C11&gt;'制度参数'!$B$14),"关闭日期不在本月",IF(D11&lt;&gt;"已关闭","非已关闭","复核非有效"))))</x:f>
        <x:v>关闭日期不在本月</x:v>
      </x:c>
    </x:row>
    <x:row r="12" ht="24" customHeight="1">
      <x:c r="A12" s="9" t="str">
        <x:v>T101-008</x:v>
      </x:c>
      <x:c r="B12" s="9" t="str">
        <x:v>CS101</x:v>
      </x:c>
      <x:c r="C12" s="13" t="n">
        <x:v>46296</x:v>
      </x:c>
      <x:c r="D12" s="9" t="str">
        <x:v>已关闭</x:v>
      </x:c>
      <x:c r="E12" s="9" t="str">
        <x:v>有效</x:v>
      </x:c>
      <x:c r="F12" s="9" t="str">
        <x:v>投诉</x:v>
      </x:c>
      <x:c r="G12" s="9" t="str">
        <x:v>紧急</x:v>
      </x:c>
      <x:c r="H12" s="15" t="n">
        <x:v>240</x:v>
      </x:c>
      <x:c r="I12" s="9" t="n">
        <x:v>0</x:v>
      </x:c>
      <x:c r="J12" s="40" t="n">
        <x:f>IF(AND(C12&gt;='制度参数'!$B$13,C12&lt;='制度参数'!$B$14,D12="已关闭",E12="有效"),1,0)</x:f>
        <x:v>0</x:v>
      </x:c>
      <x:c r="K12" s="40" t="n">
        <x:f>VLOOKUP(B12,'员工计算'!$A$5:$H$16,8,FALSE)</x:f>
        <x:v>1</x:v>
      </x:c>
      <x:c r="L12" s="9" t="n">
        <x:f>J12*K12</x:f>
        <x:v>0</x:v>
      </x:c>
      <x:c r="M12" s="42" t="n">
        <x:f>VLOOKUP(G12,'制度参数'!$H$5:$I$7,2,FALSE)</x:f>
        <x:v>2</x:v>
      </x:c>
      <x:c r="N12" s="40" t="n">
        <x:f>VLOOKUP(F12,'制度参数'!$K$5:$L$7,2,FALSE)</x:f>
        <x:v>120</x:v>
      </x:c>
      <x:c r="O12" s="42" t="n">
        <x:f>IF(H12&lt;=N12,'制度参数'!$B$21,IF(H12&lt;=N12*'制度参数'!$B$24,'制度参数'!$B$22,'制度参数'!$B$23))</x:f>
        <x:v>0.8</x:v>
      </x:c>
      <x:c r="P12" s="32" t="n">
        <x:f>L12*M12*O12</x:f>
        <x:v>0</x:v>
      </x:c>
      <x:c r="Q12" s="9" t="n">
        <x:f>L12*I12</x:f>
        <x:v>0</x:v>
      </x:c>
      <x:c r="R12" s="40" t="str">
        <x:f>IF(L12=1,"有效计件",IF(J12=1,"人员无计奖资格",IF(OR(C12&lt;'制度参数'!$B$13,C12&gt;'制度参数'!$B$14),"关闭日期不在本月",IF(D12&lt;&gt;"已关闭","非已关闭","复核非有效"))))</x:f>
        <x:v>关闭日期不在本月</x:v>
      </x:c>
    </x:row>
    <x:row r="13" ht="24" customHeight="1">
      <x:c r="A13" s="1" t="str">
        <x:v>T101-009</x:v>
      </x:c>
      <x:c r="B13" s="1" t="str">
        <x:v>CS101</x:v>
      </x:c>
      <x:c r="C13" s="12" t="n">
        <x:v>46282</x:v>
      </x:c>
      <x:c r="D13" s="1" t="str">
        <x:v>已关闭</x:v>
      </x:c>
      <x:c r="E13" s="1" t="str">
        <x:v>待确认</x:v>
      </x:c>
      <x:c r="F13" s="1" t="str">
        <x:v>技术</x:v>
      </x:c>
      <x:c r="G13" s="1" t="str">
        <x:v>复杂</x:v>
      </x:c>
      <x:c r="H13" s="14" t="n">
        <x:v>482.4</x:v>
      </x:c>
      <x:c r="I13" s="1" t="n">
        <x:v>2</x:v>
      </x:c>
      <x:c r="J13" s="39" t="n">
        <x:f>IF(AND(C13&gt;='制度参数'!$B$13,C13&lt;='制度参数'!$B$14,D13="已关闭",E13="有效"),1,0)</x:f>
        <x:v>0</x:v>
      </x:c>
      <x:c r="K13" s="39" t="n">
        <x:f>VLOOKUP(B13,'员工计算'!$A$5:$H$16,8,FALSE)</x:f>
        <x:v>1</x:v>
      </x:c>
      <x:c r="L13" s="1" t="n">
        <x:f>J13*K13</x:f>
        <x:v>0</x:v>
      </x:c>
      <x:c r="M13" s="41" t="n">
        <x:f>VLOOKUP(G13,'制度参数'!$H$5:$I$7,2,FALSE)</x:f>
        <x:v>1.5</x:v>
      </x:c>
      <x:c r="N13" s="39" t="n">
        <x:f>VLOOKUP(F13,'制度参数'!$K$5:$L$7,2,FALSE)</x:f>
        <x:v>240</x:v>
      </x:c>
      <x:c r="O13" s="41" t="n">
        <x:f>IF(H13&lt;=N13,'制度参数'!$B$21,IF(H13&lt;=N13*'制度参数'!$B$24,'制度参数'!$B$22,'制度参数'!$B$23))</x:f>
        <x:v>0.5</x:v>
      </x:c>
      <x:c r="P13" s="31" t="n">
        <x:f>L13*M13*O13</x:f>
        <x:v>0</x:v>
      </x:c>
      <x:c r="Q13" s="1" t="n">
        <x:f>L13*I13</x:f>
        <x:v>0</x:v>
      </x:c>
      <x:c r="R13" s="39" t="str">
        <x:f>IF(L13=1,"有效计件",IF(J13=1,"人员无计奖资格",IF(OR(C13&lt;'制度参数'!$B$13,C13&gt;'制度参数'!$B$14),"关闭日期不在本月",IF(D13&lt;&gt;"已关闭","非已关闭","复核非有效"))))</x:f>
        <x:v>复核非有效</x:v>
      </x:c>
    </x:row>
    <x:row r="14" ht="24" customHeight="1">
      <x:c r="A14" s="9" t="str">
        <x:v>T101-010</x:v>
      </x:c>
      <x:c r="B14" s="9" t="str">
        <x:v>CS101</x:v>
      </x:c>
      <x:c r="C14" s="13" t="n">
        <x:v>46284</x:v>
      </x:c>
      <x:c r="D14" s="9" t="str">
        <x:v>已关闭</x:v>
      </x:c>
      <x:c r="E14" s="9" t="str">
        <x:v>无效</x:v>
      </x:c>
      <x:c r="F14" s="9" t="str">
        <x:v>咨询</x:v>
      </x:c>
      <x:c r="G14" s="9" t="str">
        <x:v>普通</x:v>
      </x:c>
      <x:c r="H14" s="15" t="n">
        <x:v>24</x:v>
      </x:c>
      <x:c r="I14" s="9" t="n">
        <x:v>0</x:v>
      </x:c>
      <x:c r="J14" s="40" t="n">
        <x:f>IF(AND(C14&gt;='制度参数'!$B$13,C14&lt;='制度参数'!$B$14,D14="已关闭",E14="有效"),1,0)</x:f>
        <x:v>0</x:v>
      </x:c>
      <x:c r="K14" s="40" t="n">
        <x:f>VLOOKUP(B14,'员工计算'!$A$5:$H$16,8,FALSE)</x:f>
        <x:v>1</x:v>
      </x:c>
      <x:c r="L14" s="9" t="n">
        <x:f>J14*K14</x:f>
        <x:v>0</x:v>
      </x:c>
      <x:c r="M14" s="42" t="n">
        <x:f>VLOOKUP(G14,'制度参数'!$H$5:$I$7,2,FALSE)</x:f>
        <x:v>1</x:v>
      </x:c>
      <x:c r="N14" s="40" t="n">
        <x:f>VLOOKUP(F14,'制度参数'!$K$5:$L$7,2,FALSE)</x:f>
        <x:v>30</x:v>
      </x:c>
      <x:c r="O14" s="42" t="n">
        <x:f>IF(H14&lt;=N14,'制度参数'!$B$21,IF(H14&lt;=N14*'制度参数'!$B$24,'制度参数'!$B$22,'制度参数'!$B$23))</x:f>
        <x:v>1.1</x:v>
      </x:c>
      <x:c r="P14" s="32" t="n">
        <x:f>L14*M14*O14</x:f>
        <x:v>0</x:v>
      </x:c>
      <x:c r="Q14" s="9" t="n">
        <x:f>L14*I14</x:f>
        <x:v>0</x:v>
      </x:c>
      <x:c r="R14" s="40" t="str">
        <x:f>IF(L14=1,"有效计件",IF(J14=1,"人员无计奖资格",IF(OR(C14&lt;'制度参数'!$B$13,C14&gt;'制度参数'!$B$14),"关闭日期不在本月",IF(D14&lt;&gt;"已关闭","非已关闭","复核非有效"))))</x:f>
        <x:v>复核非有效</x:v>
      </x:c>
    </x:row>
    <x:row r="15" ht="24" customHeight="1">
      <x:c r="A15" s="1" t="str">
        <x:v>T102-001</x:v>
      </x:c>
      <x:c r="B15" s="1" t="str">
        <x:v>CS102</x:v>
      </x:c>
      <x:c r="C15" s="12" t="n">
        <x:v>46267</x:v>
      </x:c>
      <x:c r="D15" s="1" t="str">
        <x:v>已关闭</x:v>
      </x:c>
      <x:c r="E15" s="1" t="str">
        <x:v>有效</x:v>
      </x:c>
      <x:c r="F15" s="1" t="str">
        <x:v>投诉</x:v>
      </x:c>
      <x:c r="G15" s="1" t="str">
        <x:v>复杂</x:v>
      </x:c>
      <x:c r="H15" s="14" t="n">
        <x:v>240</x:v>
      </x:c>
      <x:c r="I15" s="1" t="n">
        <x:v>1</x:v>
      </x:c>
      <x:c r="J15" s="39" t="n">
        <x:f>IF(AND(C15&gt;='制度参数'!$B$13,C15&lt;='制度参数'!$B$14,D15="已关闭",E15="有效"),1,0)</x:f>
        <x:v>1</x:v>
      </x:c>
      <x:c r="K15" s="39" t="n">
        <x:f>VLOOKUP(B15,'员工计算'!$A$5:$H$16,8,FALSE)</x:f>
        <x:v>1</x:v>
      </x:c>
      <x:c r="L15" s="1" t="n">
        <x:f>J15*K15</x:f>
        <x:v>1</x:v>
      </x:c>
      <x:c r="M15" s="41" t="n">
        <x:f>VLOOKUP(G15,'制度参数'!$H$5:$I$7,2,FALSE)</x:f>
        <x:v>1.5</x:v>
      </x:c>
      <x:c r="N15" s="39" t="n">
        <x:f>VLOOKUP(F15,'制度参数'!$K$5:$L$7,2,FALSE)</x:f>
        <x:v>120</x:v>
      </x:c>
      <x:c r="O15" s="41" t="n">
        <x:f>IF(H15&lt;=N15,'制度参数'!$B$21,IF(H15&lt;=N15*'制度参数'!$B$24,'制度参数'!$B$22,'制度参数'!$B$23))</x:f>
        <x:v>0.8</x:v>
      </x:c>
      <x:c r="P15" s="31" t="n">
        <x:f>L15*M15*O15</x:f>
        <x:v>1.2000000000000002</x:v>
      </x:c>
      <x:c r="Q15" s="1" t="n">
        <x:f>L15*I15</x:f>
        <x:v>1</x:v>
      </x:c>
      <x:c r="R15" s="39" t="str">
        <x:f>IF(L15=1,"有效计件",IF(J15=1,"人员无计奖资格",IF(OR(C15&lt;'制度参数'!$B$13,C15&gt;'制度参数'!$B$14),"关闭日期不在本月",IF(D15&lt;&gt;"已关闭","非已关闭","复核非有效"))))</x:f>
        <x:v>有效计件</x:v>
      </x:c>
    </x:row>
    <x:row r="16" ht="24" customHeight="1">
      <x:c r="A16" s="9" t="str">
        <x:v>T102-002</x:v>
      </x:c>
      <x:c r="B16" s="9" t="str">
        <x:v>CS102</x:v>
      </x:c>
      <x:c r="C16" s="13" t="n">
        <x:v>46269</x:v>
      </x:c>
      <x:c r="D16" s="9" t="str">
        <x:v>已关闭</x:v>
      </x:c>
      <x:c r="E16" s="9" t="str">
        <x:v>有效</x:v>
      </x:c>
      <x:c r="F16" s="9" t="str">
        <x:v>技术</x:v>
      </x:c>
      <x:c r="G16" s="9" t="str">
        <x:v>普通</x:v>
      </x:c>
      <x:c r="H16" s="15" t="n">
        <x:v>482.4</x:v>
      </x:c>
      <x:c r="I16" s="9" t="n">
        <x:v>0</x:v>
      </x:c>
      <x:c r="J16" s="40" t="n">
        <x:f>IF(AND(C16&gt;='制度参数'!$B$13,C16&lt;='制度参数'!$B$14,D16="已关闭",E16="有效"),1,0)</x:f>
        <x:v>1</x:v>
      </x:c>
      <x:c r="K16" s="40" t="n">
        <x:f>VLOOKUP(B16,'员工计算'!$A$5:$H$16,8,FALSE)</x:f>
        <x:v>1</x:v>
      </x:c>
      <x:c r="L16" s="9" t="n">
        <x:f>J16*K16</x:f>
        <x:v>1</x:v>
      </x:c>
      <x:c r="M16" s="42" t="n">
        <x:f>VLOOKUP(G16,'制度参数'!$H$5:$I$7,2,FALSE)</x:f>
        <x:v>1</x:v>
      </x:c>
      <x:c r="N16" s="40" t="n">
        <x:f>VLOOKUP(F16,'制度参数'!$K$5:$L$7,2,FALSE)</x:f>
        <x:v>240</x:v>
      </x:c>
      <x:c r="O16" s="42" t="n">
        <x:f>IF(H16&lt;=N16,'制度参数'!$B$21,IF(H16&lt;=N16*'制度参数'!$B$24,'制度参数'!$B$22,'制度参数'!$B$23))</x:f>
        <x:v>0.5</x:v>
      </x:c>
      <x:c r="P16" s="32" t="n">
        <x:f>L16*M16*O16</x:f>
        <x:v>0.5</x:v>
      </x:c>
      <x:c r="Q16" s="9" t="n">
        <x:f>L16*I16</x:f>
        <x:v>0</x:v>
      </x:c>
      <x:c r="R16" s="40" t="str">
        <x:f>IF(L16=1,"有效计件",IF(J16=1,"人员无计奖资格",IF(OR(C16&lt;'制度参数'!$B$13,C16&gt;'制度参数'!$B$14),"关闭日期不在本月",IF(D16&lt;&gt;"已关闭","非已关闭","复核非有效"))))</x:f>
        <x:v>有效计件</x:v>
      </x:c>
    </x:row>
    <x:row r="17" ht="24" customHeight="1">
      <x:c r="A17" s="1" t="str">
        <x:v>T102-003</x:v>
      </x:c>
      <x:c r="B17" s="1" t="str">
        <x:v>CS102</x:v>
      </x:c>
      <x:c r="C17" s="12" t="n">
        <x:v>46271</x:v>
      </x:c>
      <x:c r="D17" s="1" t="str">
        <x:v>已关闭</x:v>
      </x:c>
      <x:c r="E17" s="1" t="str">
        <x:v>有效</x:v>
      </x:c>
      <x:c r="F17" s="1" t="str">
        <x:v>咨询</x:v>
      </x:c>
      <x:c r="G17" s="1" t="str">
        <x:v>紧急</x:v>
      </x:c>
      <x:c r="H17" s="14" t="n">
        <x:v>24</x:v>
      </x:c>
      <x:c r="I17" s="1" t="n">
        <x:v>2</x:v>
      </x:c>
      <x:c r="J17" s="39" t="n">
        <x:f>IF(AND(C17&gt;='制度参数'!$B$13,C17&lt;='制度参数'!$B$14,D17="已关闭",E17="有效"),1,0)</x:f>
        <x:v>1</x:v>
      </x:c>
      <x:c r="K17" s="39" t="n">
        <x:f>VLOOKUP(B17,'员工计算'!$A$5:$H$16,8,FALSE)</x:f>
        <x:v>1</x:v>
      </x:c>
      <x:c r="L17" s="1" t="n">
        <x:f>J17*K17</x:f>
        <x:v>1</x:v>
      </x:c>
      <x:c r="M17" s="41" t="n">
        <x:f>VLOOKUP(G17,'制度参数'!$H$5:$I$7,2,FALSE)</x:f>
        <x:v>2</x:v>
      </x:c>
      <x:c r="N17" s="39" t="n">
        <x:f>VLOOKUP(F17,'制度参数'!$K$5:$L$7,2,FALSE)</x:f>
        <x:v>30</x:v>
      </x:c>
      <x:c r="O17" s="41" t="n">
        <x:f>IF(H17&lt;=N17,'制度参数'!$B$21,IF(H17&lt;=N17*'制度参数'!$B$24,'制度参数'!$B$22,'制度参数'!$B$23))</x:f>
        <x:v>1.1</x:v>
      </x:c>
      <x:c r="P17" s="31" t="n">
        <x:f>L17*M17*O17</x:f>
        <x:v>2.2</x:v>
      </x:c>
      <x:c r="Q17" s="1" t="n">
        <x:f>L17*I17</x:f>
        <x:v>2</x:v>
      </x:c>
      <x:c r="R17" s="39" t="str">
        <x:f>IF(L17=1,"有效计件",IF(J17=1,"人员无计奖资格",IF(OR(C17&lt;'制度参数'!$B$13,C17&gt;'制度参数'!$B$14),"关闭日期不在本月",IF(D17&lt;&gt;"已关闭","非已关闭","复核非有效"))))</x:f>
        <x:v>有效计件</x:v>
      </x:c>
    </x:row>
    <x:row r="18" ht="24" customHeight="1">
      <x:c r="A18" s="9" t="str">
        <x:v>T102-004</x:v>
      </x:c>
      <x:c r="B18" s="9" t="str">
        <x:v>CS102</x:v>
      </x:c>
      <x:c r="C18" s="13" t="n">
        <x:v>46273</x:v>
      </x:c>
      <x:c r="D18" s="9" t="str">
        <x:v>已关闭</x:v>
      </x:c>
      <x:c r="E18" s="9" t="str">
        <x:v>有效</x:v>
      </x:c>
      <x:c r="F18" s="9" t="str">
        <x:v>投诉</x:v>
      </x:c>
      <x:c r="G18" s="9" t="str">
        <x:v>复杂</x:v>
      </x:c>
      <x:c r="H18" s="15" t="n">
        <x:v>180</x:v>
      </x:c>
      <x:c r="I18" s="9" t="n">
        <x:v>0</x:v>
      </x:c>
      <x:c r="J18" s="40" t="n">
        <x:f>IF(AND(C18&gt;='制度参数'!$B$13,C18&lt;='制度参数'!$B$14,D18="已关闭",E18="有效"),1,0)</x:f>
        <x:v>1</x:v>
      </x:c>
      <x:c r="K18" s="40" t="n">
        <x:f>VLOOKUP(B18,'员工计算'!$A$5:$H$16,8,FALSE)</x:f>
        <x:v>1</x:v>
      </x:c>
      <x:c r="L18" s="9" t="n">
        <x:f>J18*K18</x:f>
        <x:v>1</x:v>
      </x:c>
      <x:c r="M18" s="42" t="n">
        <x:f>VLOOKUP(G18,'制度参数'!$H$5:$I$7,2,FALSE)</x:f>
        <x:v>1.5</x:v>
      </x:c>
      <x:c r="N18" s="40" t="n">
        <x:f>VLOOKUP(F18,'制度参数'!$K$5:$L$7,2,FALSE)</x:f>
        <x:v>120</x:v>
      </x:c>
      <x:c r="O18" s="42" t="n">
        <x:f>IF(H18&lt;=N18,'制度参数'!$B$21,IF(H18&lt;=N18*'制度参数'!$B$24,'制度参数'!$B$22,'制度参数'!$B$23))</x:f>
        <x:v>0.8</x:v>
      </x:c>
      <x:c r="P18" s="32" t="n">
        <x:f>L18*M18*O18</x:f>
        <x:v>1.2000000000000002</x:v>
      </x:c>
      <x:c r="Q18" s="9" t="n">
        <x:f>L18*I18</x:f>
        <x:v>0</x:v>
      </x:c>
      <x:c r="R18" s="40" t="str">
        <x:f>IF(L18=1,"有效计件",IF(J18=1,"人员无计奖资格",IF(OR(C18&lt;'制度参数'!$B$13,C18&gt;'制度参数'!$B$14),"关闭日期不在本月",IF(D18&lt;&gt;"已关闭","非已关闭","复核非有效"))))</x:f>
        <x:v>有效计件</x:v>
      </x:c>
    </x:row>
    <x:row r="19" ht="24" customHeight="1">
      <x:c r="A19" s="1" t="str">
        <x:v>T102-005</x:v>
      </x:c>
      <x:c r="B19" s="1" t="str">
        <x:v>CS102</x:v>
      </x:c>
      <x:c r="C19" s="12" t="n">
        <x:v>46275</x:v>
      </x:c>
      <x:c r="D19" s="1" t="str">
        <x:v>已关闭</x:v>
      </x:c>
      <x:c r="E19" s="1" t="str">
        <x:v>有效</x:v>
      </x:c>
      <x:c r="F19" s="1" t="str">
        <x:v>技术</x:v>
      </x:c>
      <x:c r="G19" s="1" t="str">
        <x:v>普通</x:v>
      </x:c>
      <x:c r="H19" s="14" t="n">
        <x:v>720</x:v>
      </x:c>
      <x:c r="I19" s="1" t="n">
        <x:v>0</x:v>
      </x:c>
      <x:c r="J19" s="39" t="n">
        <x:f>IF(AND(C19&gt;='制度参数'!$B$13,C19&lt;='制度参数'!$B$14,D19="已关闭",E19="有效"),1,0)</x:f>
        <x:v>1</x:v>
      </x:c>
      <x:c r="K19" s="39" t="n">
        <x:f>VLOOKUP(B19,'员工计算'!$A$5:$H$16,8,FALSE)</x:f>
        <x:v>1</x:v>
      </x:c>
      <x:c r="L19" s="1" t="n">
        <x:f>J19*K19</x:f>
        <x:v>1</x:v>
      </x:c>
      <x:c r="M19" s="41" t="n">
        <x:f>VLOOKUP(G19,'制度参数'!$H$5:$I$7,2,FALSE)</x:f>
        <x:v>1</x:v>
      </x:c>
      <x:c r="N19" s="39" t="n">
        <x:f>VLOOKUP(F19,'制度参数'!$K$5:$L$7,2,FALSE)</x:f>
        <x:v>240</x:v>
      </x:c>
      <x:c r="O19" s="41" t="n">
        <x:f>IF(H19&lt;=N19,'制度参数'!$B$21,IF(H19&lt;=N19*'制度参数'!$B$24,'制度参数'!$B$22,'制度参数'!$B$23))</x:f>
        <x:v>0.5</x:v>
      </x:c>
      <x:c r="P19" s="31" t="n">
        <x:f>L19*M19*O19</x:f>
        <x:v>0.5</x:v>
      </x:c>
      <x:c r="Q19" s="1" t="n">
        <x:f>L19*I19</x:f>
        <x:v>0</x:v>
      </x:c>
      <x:c r="R19" s="39" t="str">
        <x:f>IF(L19=1,"有效计件",IF(J19=1,"人员无计奖资格",IF(OR(C19&lt;'制度参数'!$B$13,C19&gt;'制度参数'!$B$14),"关闭日期不在本月",IF(D19&lt;&gt;"已关闭","非已关闭","复核非有效"))))</x:f>
        <x:v>有效计件</x:v>
      </x:c>
    </x:row>
    <x:row r="20" ht="24" customHeight="1">
      <x:c r="A20" s="9" t="str">
        <x:v>T102-006</x:v>
      </x:c>
      <x:c r="B20" s="9" t="str">
        <x:v>CS102</x:v>
      </x:c>
      <x:c r="C20" s="13" t="n">
        <x:v>46277</x:v>
      </x:c>
      <x:c r="D20" s="9" t="str">
        <x:v>处理中</x:v>
      </x:c>
      <x:c r="E20" s="9" t="str">
        <x:v>有效</x:v>
      </x:c>
      <x:c r="F20" s="9" t="str">
        <x:v>咨询</x:v>
      </x:c>
      <x:c r="G20" s="9" t="str">
        <x:v>紧急</x:v>
      </x:c>
      <x:c r="H20" s="15" t="n">
        <x:v>30</x:v>
      </x:c>
      <x:c r="I20" s="9" t="n">
        <x:v>1</x:v>
      </x:c>
      <x:c r="J20" s="40" t="n">
        <x:f>IF(AND(C20&gt;='制度参数'!$B$13,C20&lt;='制度参数'!$B$14,D20="已关闭",E20="有效"),1,0)</x:f>
        <x:v>0</x:v>
      </x:c>
      <x:c r="K20" s="40" t="n">
        <x:f>VLOOKUP(B20,'员工计算'!$A$5:$H$16,8,FALSE)</x:f>
        <x:v>1</x:v>
      </x:c>
      <x:c r="L20" s="9" t="n">
        <x:f>J20*K20</x:f>
        <x:v>0</x:v>
      </x:c>
      <x:c r="M20" s="42" t="n">
        <x:f>VLOOKUP(G20,'制度参数'!$H$5:$I$7,2,FALSE)</x:f>
        <x:v>2</x:v>
      </x:c>
      <x:c r="N20" s="40" t="n">
        <x:f>VLOOKUP(F20,'制度参数'!$K$5:$L$7,2,FALSE)</x:f>
        <x:v>30</x:v>
      </x:c>
      <x:c r="O20" s="42" t="n">
        <x:f>IF(H20&lt;=N20,'制度参数'!$B$21,IF(H20&lt;=N20*'制度参数'!$B$24,'制度参数'!$B$22,'制度参数'!$B$23))</x:f>
        <x:v>1.1</x:v>
      </x:c>
      <x:c r="P20" s="32" t="n">
        <x:f>L20*M20*O20</x:f>
        <x:v>0</x:v>
      </x:c>
      <x:c r="Q20" s="9" t="n">
        <x:f>L20*I20</x:f>
        <x:v>0</x:v>
      </x:c>
      <x:c r="R20" s="40" t="str">
        <x:f>IF(L20=1,"有效计件",IF(J20=1,"人员无计奖资格",IF(OR(C20&lt;'制度参数'!$B$13,C20&gt;'制度参数'!$B$14),"关闭日期不在本月",IF(D20&lt;&gt;"已关闭","非已关闭","复核非有效"))))</x:f>
        <x:v>非已关闭</x:v>
      </x:c>
    </x:row>
    <x:row r="21" ht="24" customHeight="1">
      <x:c r="A21" s="1" t="str">
        <x:v>T102-007</x:v>
      </x:c>
      <x:c r="B21" s="1" t="str">
        <x:v>CS102</x:v>
      </x:c>
      <x:c r="C21" s="12" t="n">
        <x:v>46279</x:v>
      </x:c>
      <x:c r="D21" s="1" t="str">
        <x:v>已作废</x:v>
      </x:c>
      <x:c r="E21" s="1" t="str">
        <x:v>有效</x:v>
      </x:c>
      <x:c r="F21" s="1" t="str">
        <x:v>投诉</x:v>
      </x:c>
      <x:c r="G21" s="1" t="str">
        <x:v>复杂</x:v>
      </x:c>
      <x:c r="H21" s="14" t="n">
        <x:v>240</x:v>
      </x:c>
      <x:c r="I21" s="1" t="n">
        <x:v>0</x:v>
      </x:c>
      <x:c r="J21" s="39" t="n">
        <x:f>IF(AND(C21&gt;='制度参数'!$B$13,C21&lt;='制度参数'!$B$14,D21="已关闭",E21="有效"),1,0)</x:f>
        <x:v>0</x:v>
      </x:c>
      <x:c r="K21" s="39" t="n">
        <x:f>VLOOKUP(B21,'员工计算'!$A$5:$H$16,8,FALSE)</x:f>
        <x:v>1</x:v>
      </x:c>
      <x:c r="L21" s="1" t="n">
        <x:f>J21*K21</x:f>
        <x:v>0</x:v>
      </x:c>
      <x:c r="M21" s="41" t="n">
        <x:f>VLOOKUP(G21,'制度参数'!$H$5:$I$7,2,FALSE)</x:f>
        <x:v>1.5</x:v>
      </x:c>
      <x:c r="N21" s="39" t="n">
        <x:f>VLOOKUP(F21,'制度参数'!$K$5:$L$7,2,FALSE)</x:f>
        <x:v>120</x:v>
      </x:c>
      <x:c r="O21" s="41" t="n">
        <x:f>IF(H21&lt;=N21,'制度参数'!$B$21,IF(H21&lt;=N21*'制度参数'!$B$24,'制度参数'!$B$22,'制度参数'!$B$23))</x:f>
        <x:v>0.8</x:v>
      </x:c>
      <x:c r="P21" s="31" t="n">
        <x:f>L21*M21*O21</x:f>
        <x:v>0</x:v>
      </x:c>
      <x:c r="Q21" s="1" t="n">
        <x:f>L21*I21</x:f>
        <x:v>0</x:v>
      </x:c>
      <x:c r="R21" s="39" t="str">
        <x:f>IF(L21=1,"有效计件",IF(J21=1,"人员无计奖资格",IF(OR(C21&lt;'制度参数'!$B$13,C21&gt;'制度参数'!$B$14),"关闭日期不在本月",IF(D21&lt;&gt;"已关闭","非已关闭","复核非有效"))))</x:f>
        <x:v>非已关闭</x:v>
      </x:c>
    </x:row>
    <x:row r="22" ht="24" customHeight="1">
      <x:c r="A22" s="9" t="str">
        <x:v>T102-008</x:v>
      </x:c>
      <x:c r="B22" s="9" t="str">
        <x:v>CS102</x:v>
      </x:c>
      <x:c r="C22" s="13" t="n">
        <x:v>46265</x:v>
      </x:c>
      <x:c r="D22" s="9" t="str">
        <x:v>已关闭</x:v>
      </x:c>
      <x:c r="E22" s="9" t="str">
        <x:v>有效</x:v>
      </x:c>
      <x:c r="F22" s="9" t="str">
        <x:v>技术</x:v>
      </x:c>
      <x:c r="G22" s="9" t="str">
        <x:v>普通</x:v>
      </x:c>
      <x:c r="H22" s="15" t="n">
        <x:v>482.4</x:v>
      </x:c>
      <x:c r="I22" s="9" t="n">
        <x:v>2</x:v>
      </x:c>
      <x:c r="J22" s="40" t="n">
        <x:f>IF(AND(C22&gt;='制度参数'!$B$13,C22&lt;='制度参数'!$B$14,D22="已关闭",E22="有效"),1,0)</x:f>
        <x:v>0</x:v>
      </x:c>
      <x:c r="K22" s="40" t="n">
        <x:f>VLOOKUP(B22,'员工计算'!$A$5:$H$16,8,FALSE)</x:f>
        <x:v>1</x:v>
      </x:c>
      <x:c r="L22" s="9" t="n">
        <x:f>J22*K22</x:f>
        <x:v>0</x:v>
      </x:c>
      <x:c r="M22" s="42" t="n">
        <x:f>VLOOKUP(G22,'制度参数'!$H$5:$I$7,2,FALSE)</x:f>
        <x:v>1</x:v>
      </x:c>
      <x:c r="N22" s="40" t="n">
        <x:f>VLOOKUP(F22,'制度参数'!$K$5:$L$7,2,FALSE)</x:f>
        <x:v>240</x:v>
      </x:c>
      <x:c r="O22" s="42" t="n">
        <x:f>IF(H22&lt;=N22,'制度参数'!$B$21,IF(H22&lt;=N22*'制度参数'!$B$24,'制度参数'!$B$22,'制度参数'!$B$23))</x:f>
        <x:v>0.5</x:v>
      </x:c>
      <x:c r="P22" s="32" t="n">
        <x:f>L22*M22*O22</x:f>
        <x:v>0</x:v>
      </x:c>
      <x:c r="Q22" s="9" t="n">
        <x:f>L22*I22</x:f>
        <x:v>0</x:v>
      </x:c>
      <x:c r="R22" s="40" t="str">
        <x:f>IF(L22=1,"有效计件",IF(J22=1,"人员无计奖资格",IF(OR(C22&lt;'制度参数'!$B$13,C22&gt;'制度参数'!$B$14),"关闭日期不在本月",IF(D22&lt;&gt;"已关闭","非已关闭","复核非有效"))))</x:f>
        <x:v>关闭日期不在本月</x:v>
      </x:c>
    </x:row>
    <x:row r="23" ht="24" customHeight="1">
      <x:c r="A23" s="1" t="str">
        <x:v>T102-009</x:v>
      </x:c>
      <x:c r="B23" s="1" t="str">
        <x:v>CS102</x:v>
      </x:c>
      <x:c r="C23" s="12" t="n">
        <x:v>46296</x:v>
      </x:c>
      <x:c r="D23" s="1" t="str">
        <x:v>已关闭</x:v>
      </x:c>
      <x:c r="E23" s="1" t="str">
        <x:v>有效</x:v>
      </x:c>
      <x:c r="F23" s="1" t="str">
        <x:v>咨询</x:v>
      </x:c>
      <x:c r="G23" s="1" t="str">
        <x:v>紧急</x:v>
      </x:c>
      <x:c r="H23" s="14" t="n">
        <x:v>24</x:v>
      </x:c>
      <x:c r="I23" s="1" t="n">
        <x:v>0</x:v>
      </x:c>
      <x:c r="J23" s="39" t="n">
        <x:f>IF(AND(C23&gt;='制度参数'!$B$13,C23&lt;='制度参数'!$B$14,D23="已关闭",E23="有效"),1,0)</x:f>
        <x:v>0</x:v>
      </x:c>
      <x:c r="K23" s="39" t="n">
        <x:f>VLOOKUP(B23,'员工计算'!$A$5:$H$16,8,FALSE)</x:f>
        <x:v>1</x:v>
      </x:c>
      <x:c r="L23" s="1" t="n">
        <x:f>J23*K23</x:f>
        <x:v>0</x:v>
      </x:c>
      <x:c r="M23" s="41" t="n">
        <x:f>VLOOKUP(G23,'制度参数'!$H$5:$I$7,2,FALSE)</x:f>
        <x:v>2</x:v>
      </x:c>
      <x:c r="N23" s="39" t="n">
        <x:f>VLOOKUP(F23,'制度参数'!$K$5:$L$7,2,FALSE)</x:f>
        <x:v>30</x:v>
      </x:c>
      <x:c r="O23" s="41" t="n">
        <x:f>IF(H23&lt;=N23,'制度参数'!$B$21,IF(H23&lt;=N23*'制度参数'!$B$24,'制度参数'!$B$22,'制度参数'!$B$23))</x:f>
        <x:v>1.1</x:v>
      </x:c>
      <x:c r="P23" s="31" t="n">
        <x:f>L23*M23*O23</x:f>
        <x:v>0</x:v>
      </x:c>
      <x:c r="Q23" s="1" t="n">
        <x:f>L23*I23</x:f>
        <x:v>0</x:v>
      </x:c>
      <x:c r="R23" s="39" t="str">
        <x:f>IF(L23=1,"有效计件",IF(J23=1,"人员无计奖资格",IF(OR(C23&lt;'制度参数'!$B$13,C23&gt;'制度参数'!$B$14),"关闭日期不在本月",IF(D23&lt;&gt;"已关闭","非已关闭","复核非有效"))))</x:f>
        <x:v>关闭日期不在本月</x:v>
      </x:c>
    </x:row>
    <x:row r="24" ht="24" customHeight="1">
      <x:c r="A24" s="9" t="str">
        <x:v>T102-010</x:v>
      </x:c>
      <x:c r="B24" s="9" t="str">
        <x:v>CS102</x:v>
      </x:c>
      <x:c r="C24" s="13" t="n">
        <x:v>46285</x:v>
      </x:c>
      <x:c r="D24" s="9" t="str">
        <x:v>已关闭</x:v>
      </x:c>
      <x:c r="E24" s="9" t="str">
        <x:v>待确认</x:v>
      </x:c>
      <x:c r="F24" s="9" t="str">
        <x:v>投诉</x:v>
      </x:c>
      <x:c r="G24" s="9" t="str">
        <x:v>复杂</x:v>
      </x:c>
      <x:c r="H24" s="15" t="n">
        <x:v>180</x:v>
      </x:c>
      <x:c r="I24" s="9" t="n">
        <x:v>0</x:v>
      </x:c>
      <x:c r="J24" s="40" t="n">
        <x:f>IF(AND(C24&gt;='制度参数'!$B$13,C24&lt;='制度参数'!$B$14,D24="已关闭",E24="有效"),1,0)</x:f>
        <x:v>0</x:v>
      </x:c>
      <x:c r="K24" s="40" t="n">
        <x:f>VLOOKUP(B24,'员工计算'!$A$5:$H$16,8,FALSE)</x:f>
        <x:v>1</x:v>
      </x:c>
      <x:c r="L24" s="9" t="n">
        <x:f>J24*K24</x:f>
        <x:v>0</x:v>
      </x:c>
      <x:c r="M24" s="42" t="n">
        <x:f>VLOOKUP(G24,'制度参数'!$H$5:$I$7,2,FALSE)</x:f>
        <x:v>1.5</x:v>
      </x:c>
      <x:c r="N24" s="40" t="n">
        <x:f>VLOOKUP(F24,'制度参数'!$K$5:$L$7,2,FALSE)</x:f>
        <x:v>120</x:v>
      </x:c>
      <x:c r="O24" s="42" t="n">
        <x:f>IF(H24&lt;=N24,'制度参数'!$B$21,IF(H24&lt;=N24*'制度参数'!$B$24,'制度参数'!$B$22,'制度参数'!$B$23))</x:f>
        <x:v>0.8</x:v>
      </x:c>
      <x:c r="P24" s="32" t="n">
        <x:f>L24*M24*O24</x:f>
        <x:v>0</x:v>
      </x:c>
      <x:c r="Q24" s="9" t="n">
        <x:f>L24*I24</x:f>
        <x:v>0</x:v>
      </x:c>
      <x:c r="R24" s="40" t="str">
        <x:f>IF(L24=1,"有效计件",IF(J24=1,"人员无计奖资格",IF(OR(C24&lt;'制度参数'!$B$13,C24&gt;'制度参数'!$B$14),"关闭日期不在本月",IF(D24&lt;&gt;"已关闭","非已关闭","复核非有效"))))</x:f>
        <x:v>复核非有效</x:v>
      </x:c>
    </x:row>
    <x:row r="25" ht="24" customHeight="1">
      <x:c r="A25" s="1" t="str">
        <x:v>T102-011</x:v>
      </x:c>
      <x:c r="B25" s="1" t="str">
        <x:v>CS102</x:v>
      </x:c>
      <x:c r="C25" s="12" t="n">
        <x:v>46287</x:v>
      </x:c>
      <x:c r="D25" s="1" t="str">
        <x:v>已关闭</x:v>
      </x:c>
      <x:c r="E25" s="1" t="str">
        <x:v>无效</x:v>
      </x:c>
      <x:c r="F25" s="1" t="str">
        <x:v>技术</x:v>
      </x:c>
      <x:c r="G25" s="1" t="str">
        <x:v>普通</x:v>
      </x:c>
      <x:c r="H25" s="14" t="n">
        <x:v>720</x:v>
      </x:c>
      <x:c r="I25" s="1" t="n">
        <x:v>1</x:v>
      </x:c>
      <x:c r="J25" s="39" t="n">
        <x:f>IF(AND(C25&gt;='制度参数'!$B$13,C25&lt;='制度参数'!$B$14,D25="已关闭",E25="有效"),1,0)</x:f>
        <x:v>0</x:v>
      </x:c>
      <x:c r="K25" s="39" t="n">
        <x:f>VLOOKUP(B25,'员工计算'!$A$5:$H$16,8,FALSE)</x:f>
        <x:v>1</x:v>
      </x:c>
      <x:c r="L25" s="1" t="n">
        <x:f>J25*K25</x:f>
        <x:v>0</x:v>
      </x:c>
      <x:c r="M25" s="41" t="n">
        <x:f>VLOOKUP(G25,'制度参数'!$H$5:$I$7,2,FALSE)</x:f>
        <x:v>1</x:v>
      </x:c>
      <x:c r="N25" s="39" t="n">
        <x:f>VLOOKUP(F25,'制度参数'!$K$5:$L$7,2,FALSE)</x:f>
        <x:v>240</x:v>
      </x:c>
      <x:c r="O25" s="41" t="n">
        <x:f>IF(H25&lt;=N25,'制度参数'!$B$21,IF(H25&lt;=N25*'制度参数'!$B$24,'制度参数'!$B$22,'制度参数'!$B$23))</x:f>
        <x:v>0.5</x:v>
      </x:c>
      <x:c r="P25" s="31" t="n">
        <x:f>L25*M25*O25</x:f>
        <x:v>0</x:v>
      </x:c>
      <x:c r="Q25" s="1" t="n">
        <x:f>L25*I25</x:f>
        <x:v>0</x:v>
      </x:c>
      <x:c r="R25" s="39" t="str">
        <x:f>IF(L25=1,"有效计件",IF(J25=1,"人员无计奖资格",IF(OR(C25&lt;'制度参数'!$B$13,C25&gt;'制度参数'!$B$14),"关闭日期不在本月",IF(D25&lt;&gt;"已关闭","非已关闭","复核非有效"))))</x:f>
        <x:v>复核非有效</x:v>
      </x:c>
    </x:row>
    <x:row r="26" ht="24" customHeight="1">
      <x:c r="A26" s="9" t="str">
        <x:v>T103-001</x:v>
      </x:c>
      <x:c r="B26" s="9" t="str">
        <x:v>CS103</x:v>
      </x:c>
      <x:c r="C26" s="13" t="n">
        <x:v>46268</x:v>
      </x:c>
      <x:c r="D26" s="9" t="str">
        <x:v>已关闭</x:v>
      </x:c>
      <x:c r="E26" s="9" t="str">
        <x:v>有效</x:v>
      </x:c>
      <x:c r="F26" s="9" t="str">
        <x:v>技术</x:v>
      </x:c>
      <x:c r="G26" s="9" t="str">
        <x:v>紧急</x:v>
      </x:c>
      <x:c r="H26" s="15" t="n">
        <x:v>482.4</x:v>
      </x:c>
      <x:c r="I26" s="9" t="n">
        <x:v>0</x:v>
      </x:c>
      <x:c r="J26" s="40" t="n">
        <x:f>IF(AND(C26&gt;='制度参数'!$B$13,C26&lt;='制度参数'!$B$14,D26="已关闭",E26="有效"),1,0)</x:f>
        <x:v>1</x:v>
      </x:c>
      <x:c r="K26" s="40" t="n">
        <x:f>VLOOKUP(B26,'员工计算'!$A$5:$H$16,8,FALSE)</x:f>
        <x:v>1</x:v>
      </x:c>
      <x:c r="L26" s="9" t="n">
        <x:f>J26*K26</x:f>
        <x:v>1</x:v>
      </x:c>
      <x:c r="M26" s="42" t="n">
        <x:f>VLOOKUP(G26,'制度参数'!$H$5:$I$7,2,FALSE)</x:f>
        <x:v>2</x:v>
      </x:c>
      <x:c r="N26" s="40" t="n">
        <x:f>VLOOKUP(F26,'制度参数'!$K$5:$L$7,2,FALSE)</x:f>
        <x:v>240</x:v>
      </x:c>
      <x:c r="O26" s="42" t="n">
        <x:f>IF(H26&lt;=N26,'制度参数'!$B$21,IF(H26&lt;=N26*'制度参数'!$B$24,'制度参数'!$B$22,'制度参数'!$B$23))</x:f>
        <x:v>0.5</x:v>
      </x:c>
      <x:c r="P26" s="32" t="n">
        <x:f>L26*M26*O26</x:f>
        <x:v>1</x:v>
      </x:c>
      <x:c r="Q26" s="9" t="n">
        <x:f>L26*I26</x:f>
        <x:v>0</x:v>
      </x:c>
      <x:c r="R26" s="40" t="str">
        <x:f>IF(L26=1,"有效计件",IF(J26=1,"人员无计奖资格",IF(OR(C26&lt;'制度参数'!$B$13,C26&gt;'制度参数'!$B$14),"关闭日期不在本月",IF(D26&lt;&gt;"已关闭","非已关闭","复核非有效"))))</x:f>
        <x:v>有效计件</x:v>
      </x:c>
    </x:row>
    <x:row r="27" ht="24" customHeight="1">
      <x:c r="A27" s="1" t="str">
        <x:v>T103-002</x:v>
      </x:c>
      <x:c r="B27" s="1" t="str">
        <x:v>CS103</x:v>
      </x:c>
      <x:c r="C27" s="12" t="n">
        <x:v>46270</x:v>
      </x:c>
      <x:c r="D27" s="1" t="str">
        <x:v>已关闭</x:v>
      </x:c>
      <x:c r="E27" s="1" t="str">
        <x:v>有效</x:v>
      </x:c>
      <x:c r="F27" s="1" t="str">
        <x:v>咨询</x:v>
      </x:c>
      <x:c r="G27" s="1" t="str">
        <x:v>复杂</x:v>
      </x:c>
      <x:c r="H27" s="14" t="n">
        <x:v>24</x:v>
      </x:c>
      <x:c r="I27" s="1" t="n">
        <x:v>2</x:v>
      </x:c>
      <x:c r="J27" s="39" t="n">
        <x:f>IF(AND(C27&gt;='制度参数'!$B$13,C27&lt;='制度参数'!$B$14,D27="已关闭",E27="有效"),1,0)</x:f>
        <x:v>1</x:v>
      </x:c>
      <x:c r="K27" s="39" t="n">
        <x:f>VLOOKUP(B27,'员工计算'!$A$5:$H$16,8,FALSE)</x:f>
        <x:v>1</x:v>
      </x:c>
      <x:c r="L27" s="1" t="n">
        <x:f>J27*K27</x:f>
        <x:v>1</x:v>
      </x:c>
      <x:c r="M27" s="41" t="n">
        <x:f>VLOOKUP(G27,'制度参数'!$H$5:$I$7,2,FALSE)</x:f>
        <x:v>1.5</x:v>
      </x:c>
      <x:c r="N27" s="39" t="n">
        <x:f>VLOOKUP(F27,'制度参数'!$K$5:$L$7,2,FALSE)</x:f>
        <x:v>30</x:v>
      </x:c>
      <x:c r="O27" s="41" t="n">
        <x:f>IF(H27&lt;=N27,'制度参数'!$B$21,IF(H27&lt;=N27*'制度参数'!$B$24,'制度参数'!$B$22,'制度参数'!$B$23))</x:f>
        <x:v>1.1</x:v>
      </x:c>
      <x:c r="P27" s="31" t="n">
        <x:f>L27*M27*O27</x:f>
        <x:v>1.6500000000000001</x:v>
      </x:c>
      <x:c r="Q27" s="1" t="n">
        <x:f>L27*I27</x:f>
        <x:v>2</x:v>
      </x:c>
      <x:c r="R27" s="39" t="str">
        <x:f>IF(L27=1,"有效计件",IF(J27=1,"人员无计奖资格",IF(OR(C27&lt;'制度参数'!$B$13,C27&gt;'制度参数'!$B$14),"关闭日期不在本月",IF(D27&lt;&gt;"已关闭","非已关闭","复核非有效"))))</x:f>
        <x:v>有效计件</x:v>
      </x:c>
    </x:row>
    <x:row r="28" ht="24" customHeight="1">
      <x:c r="A28" s="9" t="str">
        <x:v>T103-003</x:v>
      </x:c>
      <x:c r="B28" s="9" t="str">
        <x:v>CS103</x:v>
      </x:c>
      <x:c r="C28" s="13" t="n">
        <x:v>46272</x:v>
      </x:c>
      <x:c r="D28" s="9" t="str">
        <x:v>已关闭</x:v>
      </x:c>
      <x:c r="E28" s="9" t="str">
        <x:v>有效</x:v>
      </x:c>
      <x:c r="F28" s="9" t="str">
        <x:v>投诉</x:v>
      </x:c>
      <x:c r="G28" s="9" t="str">
        <x:v>普通</x:v>
      </x:c>
      <x:c r="H28" s="15" t="n">
        <x:v>180</x:v>
      </x:c>
      <x:c r="I28" s="9" t="n">
        <x:v>0</x:v>
      </x:c>
      <x:c r="J28" s="40" t="n">
        <x:f>IF(AND(C28&gt;='制度参数'!$B$13,C28&lt;='制度参数'!$B$14,D28="已关闭",E28="有效"),1,0)</x:f>
        <x:v>1</x:v>
      </x:c>
      <x:c r="K28" s="40" t="n">
        <x:f>VLOOKUP(B28,'员工计算'!$A$5:$H$16,8,FALSE)</x:f>
        <x:v>1</x:v>
      </x:c>
      <x:c r="L28" s="9" t="n">
        <x:f>J28*K28</x:f>
        <x:v>1</x:v>
      </x:c>
      <x:c r="M28" s="42" t="n">
        <x:f>VLOOKUP(G28,'制度参数'!$H$5:$I$7,2,FALSE)</x:f>
        <x:v>1</x:v>
      </x:c>
      <x:c r="N28" s="40" t="n">
        <x:f>VLOOKUP(F28,'制度参数'!$K$5:$L$7,2,FALSE)</x:f>
        <x:v>120</x:v>
      </x:c>
      <x:c r="O28" s="42" t="n">
        <x:f>IF(H28&lt;=N28,'制度参数'!$B$21,IF(H28&lt;=N28*'制度参数'!$B$24,'制度参数'!$B$22,'制度参数'!$B$23))</x:f>
        <x:v>0.8</x:v>
      </x:c>
      <x:c r="P28" s="32" t="n">
        <x:f>L28*M28*O28</x:f>
        <x:v>0.8</x:v>
      </x:c>
      <x:c r="Q28" s="9" t="n">
        <x:f>L28*I28</x:f>
        <x:v>0</x:v>
      </x:c>
      <x:c r="R28" s="40" t="str">
        <x:f>IF(L28=1,"有效计件",IF(J28=1,"人员无计奖资格",IF(OR(C28&lt;'制度参数'!$B$13,C28&gt;'制度参数'!$B$14),"关闭日期不在本月",IF(D28&lt;&gt;"已关闭","非已关闭","复核非有效"))))</x:f>
        <x:v>有效计件</x:v>
      </x:c>
    </x:row>
    <x:row r="29" ht="24" customHeight="1">
      <x:c r="A29" s="1" t="str">
        <x:v>T103-004</x:v>
      </x:c>
      <x:c r="B29" s="1" t="str">
        <x:v>CS103</x:v>
      </x:c>
      <x:c r="C29" s="12" t="n">
        <x:v>46274</x:v>
      </x:c>
      <x:c r="D29" s="1" t="str">
        <x:v>已关闭</x:v>
      </x:c>
      <x:c r="E29" s="1" t="str">
        <x:v>有效</x:v>
      </x:c>
      <x:c r="F29" s="1" t="str">
        <x:v>技术</x:v>
      </x:c>
      <x:c r="G29" s="1" t="str">
        <x:v>紧急</x:v>
      </x:c>
      <x:c r="H29" s="14" t="n">
        <x:v>720</x:v>
      </x:c>
      <x:c r="I29" s="1" t="n">
        <x:v>0</x:v>
      </x:c>
      <x:c r="J29" s="39" t="n">
        <x:f>IF(AND(C29&gt;='制度参数'!$B$13,C29&lt;='制度参数'!$B$14,D29="已关闭",E29="有效"),1,0)</x:f>
        <x:v>1</x:v>
      </x:c>
      <x:c r="K29" s="39" t="n">
        <x:f>VLOOKUP(B29,'员工计算'!$A$5:$H$16,8,FALSE)</x:f>
        <x:v>1</x:v>
      </x:c>
      <x:c r="L29" s="1" t="n">
        <x:f>J29*K29</x:f>
        <x:v>1</x:v>
      </x:c>
      <x:c r="M29" s="41" t="n">
        <x:f>VLOOKUP(G29,'制度参数'!$H$5:$I$7,2,FALSE)</x:f>
        <x:v>2</x:v>
      </x:c>
      <x:c r="N29" s="39" t="n">
        <x:f>VLOOKUP(F29,'制度参数'!$K$5:$L$7,2,FALSE)</x:f>
        <x:v>240</x:v>
      </x:c>
      <x:c r="O29" s="41" t="n">
        <x:f>IF(H29&lt;=N29,'制度参数'!$B$21,IF(H29&lt;=N29*'制度参数'!$B$24,'制度参数'!$B$22,'制度参数'!$B$23))</x:f>
        <x:v>0.5</x:v>
      </x:c>
      <x:c r="P29" s="31" t="n">
        <x:f>L29*M29*O29</x:f>
        <x:v>1</x:v>
      </x:c>
      <x:c r="Q29" s="1" t="n">
        <x:f>L29*I29</x:f>
        <x:v>0</x:v>
      </x:c>
      <x:c r="R29" s="39" t="str">
        <x:f>IF(L29=1,"有效计件",IF(J29=1,"人员无计奖资格",IF(OR(C29&lt;'制度参数'!$B$13,C29&gt;'制度参数'!$B$14),"关闭日期不在本月",IF(D29&lt;&gt;"已关闭","非已关闭","复核非有效"))))</x:f>
        <x:v>有效计件</x:v>
      </x:c>
    </x:row>
    <x:row r="30" ht="24" customHeight="1">
      <x:c r="A30" s="9" t="str">
        <x:v>T103-005</x:v>
      </x:c>
      <x:c r="B30" s="9" t="str">
        <x:v>CS103</x:v>
      </x:c>
      <x:c r="C30" s="13" t="n">
        <x:v>46276</x:v>
      </x:c>
      <x:c r="D30" s="9" t="str">
        <x:v>已关闭</x:v>
      </x:c>
      <x:c r="E30" s="9" t="str">
        <x:v>有效</x:v>
      </x:c>
      <x:c r="F30" s="9" t="str">
        <x:v>咨询</x:v>
      </x:c>
      <x:c r="G30" s="9" t="str">
        <x:v>复杂</x:v>
      </x:c>
      <x:c r="H30" s="15" t="n">
        <x:v>30</x:v>
      </x:c>
      <x:c r="I30" s="9" t="n">
        <x:v>1</x:v>
      </x:c>
      <x:c r="J30" s="40" t="n">
        <x:f>IF(AND(C30&gt;='制度参数'!$B$13,C30&lt;='制度参数'!$B$14,D30="已关闭",E30="有效"),1,0)</x:f>
        <x:v>1</x:v>
      </x:c>
      <x:c r="K30" s="40" t="n">
        <x:f>VLOOKUP(B30,'员工计算'!$A$5:$H$16,8,FALSE)</x:f>
        <x:v>1</x:v>
      </x:c>
      <x:c r="L30" s="9" t="n">
        <x:f>J30*K30</x:f>
        <x:v>1</x:v>
      </x:c>
      <x:c r="M30" s="42" t="n">
        <x:f>VLOOKUP(G30,'制度参数'!$H$5:$I$7,2,FALSE)</x:f>
        <x:v>1.5</x:v>
      </x:c>
      <x:c r="N30" s="40" t="n">
        <x:f>VLOOKUP(F30,'制度参数'!$K$5:$L$7,2,FALSE)</x:f>
        <x:v>30</x:v>
      </x:c>
      <x:c r="O30" s="42" t="n">
        <x:f>IF(H30&lt;=N30,'制度参数'!$B$21,IF(H30&lt;=N30*'制度参数'!$B$24,'制度参数'!$B$22,'制度参数'!$B$23))</x:f>
        <x:v>1.1</x:v>
      </x:c>
      <x:c r="P30" s="32" t="n">
        <x:f>L30*M30*O30</x:f>
        <x:v>1.6500000000000001</x:v>
      </x:c>
      <x:c r="Q30" s="9" t="n">
        <x:f>L30*I30</x:f>
        <x:v>1</x:v>
      </x:c>
      <x:c r="R30" s="40" t="str">
        <x:f>IF(L30=1,"有效计件",IF(J30=1,"人员无计奖资格",IF(OR(C30&lt;'制度参数'!$B$13,C30&gt;'制度参数'!$B$14),"关闭日期不在本月",IF(D30&lt;&gt;"已关闭","非已关闭","复核非有效"))))</x:f>
        <x:v>有效计件</x:v>
      </x:c>
    </x:row>
    <x:row r="31" ht="24" customHeight="1">
      <x:c r="A31" s="1" t="str">
        <x:v>T103-006</x:v>
      </x:c>
      <x:c r="B31" s="1" t="str">
        <x:v>CS103</x:v>
      </x:c>
      <x:c r="C31" s="12" t="n">
        <x:v>46278</x:v>
      </x:c>
      <x:c r="D31" s="1" t="str">
        <x:v>已关闭</x:v>
      </x:c>
      <x:c r="E31" s="1" t="str">
        <x:v>有效</x:v>
      </x:c>
      <x:c r="F31" s="1" t="str">
        <x:v>投诉</x:v>
      </x:c>
      <x:c r="G31" s="1" t="str">
        <x:v>普通</x:v>
      </x:c>
      <x:c r="H31" s="14" t="n">
        <x:v>240</x:v>
      </x:c>
      <x:c r="I31" s="1" t="n">
        <x:v>0</x:v>
      </x:c>
      <x:c r="J31" s="39" t="n">
        <x:f>IF(AND(C31&gt;='制度参数'!$B$13,C31&lt;='制度参数'!$B$14,D31="已关闭",E31="有效"),1,0)</x:f>
        <x:v>1</x:v>
      </x:c>
      <x:c r="K31" s="39" t="n">
        <x:f>VLOOKUP(B31,'员工计算'!$A$5:$H$16,8,FALSE)</x:f>
        <x:v>1</x:v>
      </x:c>
      <x:c r="L31" s="1" t="n">
        <x:f>J31*K31</x:f>
        <x:v>1</x:v>
      </x:c>
      <x:c r="M31" s="41" t="n">
        <x:f>VLOOKUP(G31,'制度参数'!$H$5:$I$7,2,FALSE)</x:f>
        <x:v>1</x:v>
      </x:c>
      <x:c r="N31" s="39" t="n">
        <x:f>VLOOKUP(F31,'制度参数'!$K$5:$L$7,2,FALSE)</x:f>
        <x:v>120</x:v>
      </x:c>
      <x:c r="O31" s="41" t="n">
        <x:f>IF(H31&lt;=N31,'制度参数'!$B$21,IF(H31&lt;=N31*'制度参数'!$B$24,'制度参数'!$B$22,'制度参数'!$B$23))</x:f>
        <x:v>0.8</x:v>
      </x:c>
      <x:c r="P31" s="31" t="n">
        <x:f>L31*M31*O31</x:f>
        <x:v>0.8</x:v>
      </x:c>
      <x:c r="Q31" s="1" t="n">
        <x:f>L31*I31</x:f>
        <x:v>0</x:v>
      </x:c>
      <x:c r="R31" s="39" t="str">
        <x:f>IF(L31=1,"有效计件",IF(J31=1,"人员无计奖资格",IF(OR(C31&lt;'制度参数'!$B$13,C31&gt;'制度参数'!$B$14),"关闭日期不在本月",IF(D31&lt;&gt;"已关闭","非已关闭","复核非有效"))))</x:f>
        <x:v>有效计件</x:v>
      </x:c>
    </x:row>
    <x:row r="32" ht="24" customHeight="1">
      <x:c r="A32" s="9" t="str">
        <x:v>T103-007</x:v>
      </x:c>
      <x:c r="B32" s="9" t="str">
        <x:v>CS103</x:v>
      </x:c>
      <x:c r="C32" s="13" t="n">
        <x:v>46280</x:v>
      </x:c>
      <x:c r="D32" s="9" t="str">
        <x:v>处理中</x:v>
      </x:c>
      <x:c r="E32" s="9" t="str">
        <x:v>有效</x:v>
      </x:c>
      <x:c r="F32" s="9" t="str">
        <x:v>技术</x:v>
      </x:c>
      <x:c r="G32" s="9" t="str">
        <x:v>紧急</x:v>
      </x:c>
      <x:c r="H32" s="15" t="n">
        <x:v>482.4</x:v>
      </x:c>
      <x:c r="I32" s="9" t="n">
        <x:v>2</x:v>
      </x:c>
      <x:c r="J32" s="40" t="n">
        <x:f>IF(AND(C32&gt;='制度参数'!$B$13,C32&lt;='制度参数'!$B$14,D32="已关闭",E32="有效"),1,0)</x:f>
        <x:v>0</x:v>
      </x:c>
      <x:c r="K32" s="40" t="n">
        <x:f>VLOOKUP(B32,'员工计算'!$A$5:$H$16,8,FALSE)</x:f>
        <x:v>1</x:v>
      </x:c>
      <x:c r="L32" s="9" t="n">
        <x:f>J32*K32</x:f>
        <x:v>0</x:v>
      </x:c>
      <x:c r="M32" s="42" t="n">
        <x:f>VLOOKUP(G32,'制度参数'!$H$5:$I$7,2,FALSE)</x:f>
        <x:v>2</x:v>
      </x:c>
      <x:c r="N32" s="40" t="n">
        <x:f>VLOOKUP(F32,'制度参数'!$K$5:$L$7,2,FALSE)</x:f>
        <x:v>240</x:v>
      </x:c>
      <x:c r="O32" s="42" t="n">
        <x:f>IF(H32&lt;=N32,'制度参数'!$B$21,IF(H32&lt;=N32*'制度参数'!$B$24,'制度参数'!$B$22,'制度参数'!$B$23))</x:f>
        <x:v>0.5</x:v>
      </x:c>
      <x:c r="P32" s="32" t="n">
        <x:f>L32*M32*O32</x:f>
        <x:v>0</x:v>
      </x:c>
      <x:c r="Q32" s="9" t="n">
        <x:f>L32*I32</x:f>
        <x:v>0</x:v>
      </x:c>
      <x:c r="R32" s="40" t="str">
        <x:f>IF(L32=1,"有效计件",IF(J32=1,"人员无计奖资格",IF(OR(C32&lt;'制度参数'!$B$13,C32&gt;'制度参数'!$B$14),"关闭日期不在本月",IF(D32&lt;&gt;"已关闭","非已关闭","复核非有效"))))</x:f>
        <x:v>非已关闭</x:v>
      </x:c>
    </x:row>
    <x:row r="33" ht="24" customHeight="1">
      <x:c r="A33" s="1" t="str">
        <x:v>T103-008</x:v>
      </x:c>
      <x:c r="B33" s="1" t="str">
        <x:v>CS103</x:v>
      </x:c>
      <x:c r="C33" s="12" t="n">
        <x:v>46282</x:v>
      </x:c>
      <x:c r="D33" s="1" t="str">
        <x:v>已作废</x:v>
      </x:c>
      <x:c r="E33" s="1" t="str">
        <x:v>有效</x:v>
      </x:c>
      <x:c r="F33" s="1" t="str">
        <x:v>咨询</x:v>
      </x:c>
      <x:c r="G33" s="1" t="str">
        <x:v>复杂</x:v>
      </x:c>
      <x:c r="H33" s="14" t="n">
        <x:v>24</x:v>
      </x:c>
      <x:c r="I33" s="1" t="n">
        <x:v>0</x:v>
      </x:c>
      <x:c r="J33" s="39" t="n">
        <x:f>IF(AND(C33&gt;='制度参数'!$B$13,C33&lt;='制度参数'!$B$14,D33="已关闭",E33="有效"),1,0)</x:f>
        <x:v>0</x:v>
      </x:c>
      <x:c r="K33" s="39" t="n">
        <x:f>VLOOKUP(B33,'员工计算'!$A$5:$H$16,8,FALSE)</x:f>
        <x:v>1</x:v>
      </x:c>
      <x:c r="L33" s="1" t="n">
        <x:f>J33*K33</x:f>
        <x:v>0</x:v>
      </x:c>
      <x:c r="M33" s="41" t="n">
        <x:f>VLOOKUP(G33,'制度参数'!$H$5:$I$7,2,FALSE)</x:f>
        <x:v>1.5</x:v>
      </x:c>
      <x:c r="N33" s="39" t="n">
        <x:f>VLOOKUP(F33,'制度参数'!$K$5:$L$7,2,FALSE)</x:f>
        <x:v>30</x:v>
      </x:c>
      <x:c r="O33" s="41" t="n">
        <x:f>IF(H33&lt;=N33,'制度参数'!$B$21,IF(H33&lt;=N33*'制度参数'!$B$24,'制度参数'!$B$22,'制度参数'!$B$23))</x:f>
        <x:v>1.1</x:v>
      </x:c>
      <x:c r="P33" s="31" t="n">
        <x:f>L33*M33*O33</x:f>
        <x:v>0</x:v>
      </x:c>
      <x:c r="Q33" s="1" t="n">
        <x:f>L33*I33</x:f>
        <x:v>0</x:v>
      </x:c>
      <x:c r="R33" s="39" t="str">
        <x:f>IF(L33=1,"有效计件",IF(J33=1,"人员无计奖资格",IF(OR(C33&lt;'制度参数'!$B$13,C33&gt;'制度参数'!$B$14),"关闭日期不在本月",IF(D33&lt;&gt;"已关闭","非已关闭","复核非有效"))))</x:f>
        <x:v>非已关闭</x:v>
      </x:c>
    </x:row>
    <x:row r="34" ht="24" customHeight="1">
      <x:c r="A34" s="9" t="str">
        <x:v>T103-009</x:v>
      </x:c>
      <x:c r="B34" s="9" t="str">
        <x:v>CS103</x:v>
      </x:c>
      <x:c r="C34" s="13" t="n">
        <x:v>46265</x:v>
      </x:c>
      <x:c r="D34" s="9" t="str">
        <x:v>已关闭</x:v>
      </x:c>
      <x:c r="E34" s="9" t="str">
        <x:v>有效</x:v>
      </x:c>
      <x:c r="F34" s="9" t="str">
        <x:v>投诉</x:v>
      </x:c>
      <x:c r="G34" s="9" t="str">
        <x:v>普通</x:v>
      </x:c>
      <x:c r="H34" s="15" t="n">
        <x:v>180</x:v>
      </x:c>
      <x:c r="I34" s="9" t="n">
        <x:v>0</x:v>
      </x:c>
      <x:c r="J34" s="40" t="n">
        <x:f>IF(AND(C34&gt;='制度参数'!$B$13,C34&lt;='制度参数'!$B$14,D34="已关闭",E34="有效"),1,0)</x:f>
        <x:v>0</x:v>
      </x:c>
      <x:c r="K34" s="40" t="n">
        <x:f>VLOOKUP(B34,'员工计算'!$A$5:$H$16,8,FALSE)</x:f>
        <x:v>1</x:v>
      </x:c>
      <x:c r="L34" s="9" t="n">
        <x:f>J34*K34</x:f>
        <x:v>0</x:v>
      </x:c>
      <x:c r="M34" s="42" t="n">
        <x:f>VLOOKUP(G34,'制度参数'!$H$5:$I$7,2,FALSE)</x:f>
        <x:v>1</x:v>
      </x:c>
      <x:c r="N34" s="40" t="n">
        <x:f>VLOOKUP(F34,'制度参数'!$K$5:$L$7,2,FALSE)</x:f>
        <x:v>120</x:v>
      </x:c>
      <x:c r="O34" s="42" t="n">
        <x:f>IF(H34&lt;=N34,'制度参数'!$B$21,IF(H34&lt;=N34*'制度参数'!$B$24,'制度参数'!$B$22,'制度参数'!$B$23))</x:f>
        <x:v>0.8</x:v>
      </x:c>
      <x:c r="P34" s="32" t="n">
        <x:f>L34*M34*O34</x:f>
        <x:v>0</x:v>
      </x:c>
      <x:c r="Q34" s="9" t="n">
        <x:f>L34*I34</x:f>
        <x:v>0</x:v>
      </x:c>
      <x:c r="R34" s="40" t="str">
        <x:f>IF(L34=1,"有效计件",IF(J34=1,"人员无计奖资格",IF(OR(C34&lt;'制度参数'!$B$13,C34&gt;'制度参数'!$B$14),"关闭日期不在本月",IF(D34&lt;&gt;"已关闭","非已关闭","复核非有效"))))</x:f>
        <x:v>关闭日期不在本月</x:v>
      </x:c>
    </x:row>
    <x:row r="35" ht="24" customHeight="1">
      <x:c r="A35" s="1" t="str">
        <x:v>T103-010</x:v>
      </x:c>
      <x:c r="B35" s="1" t="str">
        <x:v>CS103</x:v>
      </x:c>
      <x:c r="C35" s="12" t="n">
        <x:v>46296</x:v>
      </x:c>
      <x:c r="D35" s="1" t="str">
        <x:v>已关闭</x:v>
      </x:c>
      <x:c r="E35" s="1" t="str">
        <x:v>有效</x:v>
      </x:c>
      <x:c r="F35" s="1" t="str">
        <x:v>技术</x:v>
      </x:c>
      <x:c r="G35" s="1" t="str">
        <x:v>紧急</x:v>
      </x:c>
      <x:c r="H35" s="14" t="n">
        <x:v>720</x:v>
      </x:c>
      <x:c r="I35" s="1" t="n">
        <x:v>1</x:v>
      </x:c>
      <x:c r="J35" s="39" t="n">
        <x:f>IF(AND(C35&gt;='制度参数'!$B$13,C35&lt;='制度参数'!$B$14,D35="已关闭",E35="有效"),1,0)</x:f>
        <x:v>0</x:v>
      </x:c>
      <x:c r="K35" s="39" t="n">
        <x:f>VLOOKUP(B35,'员工计算'!$A$5:$H$16,8,FALSE)</x:f>
        <x:v>1</x:v>
      </x:c>
      <x:c r="L35" s="1" t="n">
        <x:f>J35*K35</x:f>
        <x:v>0</x:v>
      </x:c>
      <x:c r="M35" s="41" t="n">
        <x:f>VLOOKUP(G35,'制度参数'!$H$5:$I$7,2,FALSE)</x:f>
        <x:v>2</x:v>
      </x:c>
      <x:c r="N35" s="39" t="n">
        <x:f>VLOOKUP(F35,'制度参数'!$K$5:$L$7,2,FALSE)</x:f>
        <x:v>240</x:v>
      </x:c>
      <x:c r="O35" s="41" t="n">
        <x:f>IF(H35&lt;=N35,'制度参数'!$B$21,IF(H35&lt;=N35*'制度参数'!$B$24,'制度参数'!$B$22,'制度参数'!$B$23))</x:f>
        <x:v>0.5</x:v>
      </x:c>
      <x:c r="P35" s="31" t="n">
        <x:f>L35*M35*O35</x:f>
        <x:v>0</x:v>
      </x:c>
      <x:c r="Q35" s="1" t="n">
        <x:f>L35*I35</x:f>
        <x:v>0</x:v>
      </x:c>
      <x:c r="R35" s="39" t="str">
        <x:f>IF(L35=1,"有效计件",IF(J35=1,"人员无计奖资格",IF(OR(C35&lt;'制度参数'!$B$13,C35&gt;'制度参数'!$B$14),"关闭日期不在本月",IF(D35&lt;&gt;"已关闭","非已关闭","复核非有效"))))</x:f>
        <x:v>关闭日期不在本月</x:v>
      </x:c>
    </x:row>
    <x:row r="36" ht="24" customHeight="1">
      <x:c r="A36" s="9" t="str">
        <x:v>T103-011</x:v>
      </x:c>
      <x:c r="B36" s="9" t="str">
        <x:v>CS103</x:v>
      </x:c>
      <x:c r="C36" s="13" t="n">
        <x:v>46288</x:v>
      </x:c>
      <x:c r="D36" s="9" t="str">
        <x:v>已关闭</x:v>
      </x:c>
      <x:c r="E36" s="9" t="str">
        <x:v>待确认</x:v>
      </x:c>
      <x:c r="F36" s="9" t="str">
        <x:v>咨询</x:v>
      </x:c>
      <x:c r="G36" s="9" t="str">
        <x:v>复杂</x:v>
      </x:c>
      <x:c r="H36" s="15" t="n">
        <x:v>30</x:v>
      </x:c>
      <x:c r="I36" s="9" t="n">
        <x:v>0</x:v>
      </x:c>
      <x:c r="J36" s="40" t="n">
        <x:f>IF(AND(C36&gt;='制度参数'!$B$13,C36&lt;='制度参数'!$B$14,D36="已关闭",E36="有效"),1,0)</x:f>
        <x:v>0</x:v>
      </x:c>
      <x:c r="K36" s="40" t="n">
        <x:f>VLOOKUP(B36,'员工计算'!$A$5:$H$16,8,FALSE)</x:f>
        <x:v>1</x:v>
      </x:c>
      <x:c r="L36" s="9" t="n">
        <x:f>J36*K36</x:f>
        <x:v>0</x:v>
      </x:c>
      <x:c r="M36" s="42" t="n">
        <x:f>VLOOKUP(G36,'制度参数'!$H$5:$I$7,2,FALSE)</x:f>
        <x:v>1.5</x:v>
      </x:c>
      <x:c r="N36" s="40" t="n">
        <x:f>VLOOKUP(F36,'制度参数'!$K$5:$L$7,2,FALSE)</x:f>
        <x:v>30</x:v>
      </x:c>
      <x:c r="O36" s="42" t="n">
        <x:f>IF(H36&lt;=N36,'制度参数'!$B$21,IF(H36&lt;=N36*'制度参数'!$B$24,'制度参数'!$B$22,'制度参数'!$B$23))</x:f>
        <x:v>1.1</x:v>
      </x:c>
      <x:c r="P36" s="32" t="n">
        <x:f>L36*M36*O36</x:f>
        <x:v>0</x:v>
      </x:c>
      <x:c r="Q36" s="9" t="n">
        <x:f>L36*I36</x:f>
        <x:v>0</x:v>
      </x:c>
      <x:c r="R36" s="40" t="str">
        <x:f>IF(L36=1,"有效计件",IF(J36=1,"人员无计奖资格",IF(OR(C36&lt;'制度参数'!$B$13,C36&gt;'制度参数'!$B$14),"关闭日期不在本月",IF(D36&lt;&gt;"已关闭","非已关闭","复核非有效"))))</x:f>
        <x:v>复核非有效</x:v>
      </x:c>
    </x:row>
    <x:row r="37" ht="24" customHeight="1">
      <x:c r="A37" s="1" t="str">
        <x:v>T103-012</x:v>
      </x:c>
      <x:c r="B37" s="1" t="str">
        <x:v>CS103</x:v>
      </x:c>
      <x:c r="C37" s="12" t="n">
        <x:v>46290</x:v>
      </x:c>
      <x:c r="D37" s="1" t="str">
        <x:v>已关闭</x:v>
      </x:c>
      <x:c r="E37" s="1" t="str">
        <x:v>无效</x:v>
      </x:c>
      <x:c r="F37" s="1" t="str">
        <x:v>投诉</x:v>
      </x:c>
      <x:c r="G37" s="1" t="str">
        <x:v>普通</x:v>
      </x:c>
      <x:c r="H37" s="14" t="n">
        <x:v>240</x:v>
      </x:c>
      <x:c r="I37" s="1" t="n">
        <x:v>2</x:v>
      </x:c>
      <x:c r="J37" s="39" t="n">
        <x:f>IF(AND(C37&gt;='制度参数'!$B$13,C37&lt;='制度参数'!$B$14,D37="已关闭",E37="有效"),1,0)</x:f>
        <x:v>0</x:v>
      </x:c>
      <x:c r="K37" s="39" t="n">
        <x:f>VLOOKUP(B37,'员工计算'!$A$5:$H$16,8,FALSE)</x:f>
        <x:v>1</x:v>
      </x:c>
      <x:c r="L37" s="1" t="n">
        <x:f>J37*K37</x:f>
        <x:v>0</x:v>
      </x:c>
      <x:c r="M37" s="41" t="n">
        <x:f>VLOOKUP(G37,'制度参数'!$H$5:$I$7,2,FALSE)</x:f>
        <x:v>1</x:v>
      </x:c>
      <x:c r="N37" s="39" t="n">
        <x:f>VLOOKUP(F37,'制度参数'!$K$5:$L$7,2,FALSE)</x:f>
        <x:v>120</x:v>
      </x:c>
      <x:c r="O37" s="41" t="n">
        <x:f>IF(H37&lt;=N37,'制度参数'!$B$21,IF(H37&lt;=N37*'制度参数'!$B$24,'制度参数'!$B$22,'制度参数'!$B$23))</x:f>
        <x:v>0.8</x:v>
      </x:c>
      <x:c r="P37" s="31" t="n">
        <x:f>L37*M37*O37</x:f>
        <x:v>0</x:v>
      </x:c>
      <x:c r="Q37" s="1" t="n">
        <x:f>L37*I37</x:f>
        <x:v>0</x:v>
      </x:c>
      <x:c r="R37" s="39" t="str">
        <x:f>IF(L37=1,"有效计件",IF(J37=1,"人员无计奖资格",IF(OR(C37&lt;'制度参数'!$B$13,C37&gt;'制度参数'!$B$14),"关闭日期不在本月",IF(D37&lt;&gt;"已关闭","非已关闭","复核非有效"))))</x:f>
        <x:v>复核非有效</x:v>
      </x:c>
    </x:row>
    <x:row r="38" ht="24" customHeight="1">
      <x:c r="A38" s="9" t="str">
        <x:v>T104-001</x:v>
      </x:c>
      <x:c r="B38" s="9" t="str">
        <x:v>CS104</x:v>
      </x:c>
      <x:c r="C38" s="13" t="n">
        <x:v>46269</x:v>
      </x:c>
      <x:c r="D38" s="9" t="str">
        <x:v>已关闭</x:v>
      </x:c>
      <x:c r="E38" s="9" t="str">
        <x:v>有效</x:v>
      </x:c>
      <x:c r="F38" s="9" t="str">
        <x:v>咨询</x:v>
      </x:c>
      <x:c r="G38" s="9" t="str">
        <x:v>普通</x:v>
      </x:c>
      <x:c r="H38" s="15" t="n">
        <x:v>24</x:v>
      </x:c>
      <x:c r="I38" s="9" t="n">
        <x:v>2</x:v>
      </x:c>
      <x:c r="J38" s="40" t="n">
        <x:f>IF(AND(C38&gt;='制度参数'!$B$13,C38&lt;='制度参数'!$B$14,D38="已关闭",E38="有效"),1,0)</x:f>
        <x:v>1</x:v>
      </x:c>
      <x:c r="K38" s="40" t="n">
        <x:f>VLOOKUP(B38,'员工计算'!$A$5:$H$16,8,FALSE)</x:f>
        <x:v>1</x:v>
      </x:c>
      <x:c r="L38" s="9" t="n">
        <x:f>J38*K38</x:f>
        <x:v>1</x:v>
      </x:c>
      <x:c r="M38" s="42" t="n">
        <x:f>VLOOKUP(G38,'制度参数'!$H$5:$I$7,2,FALSE)</x:f>
        <x:v>1</x:v>
      </x:c>
      <x:c r="N38" s="40" t="n">
        <x:f>VLOOKUP(F38,'制度参数'!$K$5:$L$7,2,FALSE)</x:f>
        <x:v>30</x:v>
      </x:c>
      <x:c r="O38" s="42" t="n">
        <x:f>IF(H38&lt;=N38,'制度参数'!$B$21,IF(H38&lt;=N38*'制度参数'!$B$24,'制度参数'!$B$22,'制度参数'!$B$23))</x:f>
        <x:v>1.1</x:v>
      </x:c>
      <x:c r="P38" s="32" t="n">
        <x:f>L38*M38*O38</x:f>
        <x:v>1.1</x:v>
      </x:c>
      <x:c r="Q38" s="9" t="n">
        <x:f>L38*I38</x:f>
        <x:v>2</x:v>
      </x:c>
      <x:c r="R38" s="40" t="str">
        <x:f>IF(L38=1,"有效计件",IF(J38=1,"人员无计奖资格",IF(OR(C38&lt;'制度参数'!$B$13,C38&gt;'制度参数'!$B$14),"关闭日期不在本月",IF(D38&lt;&gt;"已关闭","非已关闭","复核非有效"))))</x:f>
        <x:v>有效计件</x:v>
      </x:c>
    </x:row>
    <x:row r="39" ht="24" customHeight="1">
      <x:c r="A39" s="1" t="str">
        <x:v>T104-002</x:v>
      </x:c>
      <x:c r="B39" s="1" t="str">
        <x:v>CS104</x:v>
      </x:c>
      <x:c r="C39" s="12" t="n">
        <x:v>46271</x:v>
      </x:c>
      <x:c r="D39" s="1" t="str">
        <x:v>已关闭</x:v>
      </x:c>
      <x:c r="E39" s="1" t="str">
        <x:v>有效</x:v>
      </x:c>
      <x:c r="F39" s="1" t="str">
        <x:v>投诉</x:v>
      </x:c>
      <x:c r="G39" s="1" t="str">
        <x:v>紧急</x:v>
      </x:c>
      <x:c r="H39" s="14" t="n">
        <x:v>180</x:v>
      </x:c>
      <x:c r="I39" s="1" t="n">
        <x:v>0</x:v>
      </x:c>
      <x:c r="J39" s="39" t="n">
        <x:f>IF(AND(C39&gt;='制度参数'!$B$13,C39&lt;='制度参数'!$B$14,D39="已关闭",E39="有效"),1,0)</x:f>
        <x:v>1</x:v>
      </x:c>
      <x:c r="K39" s="39" t="n">
        <x:f>VLOOKUP(B39,'员工计算'!$A$5:$H$16,8,FALSE)</x:f>
        <x:v>1</x:v>
      </x:c>
      <x:c r="L39" s="1" t="n">
        <x:f>J39*K39</x:f>
        <x:v>1</x:v>
      </x:c>
      <x:c r="M39" s="41" t="n">
        <x:f>VLOOKUP(G39,'制度参数'!$H$5:$I$7,2,FALSE)</x:f>
        <x:v>2</x:v>
      </x:c>
      <x:c r="N39" s="39" t="n">
        <x:f>VLOOKUP(F39,'制度参数'!$K$5:$L$7,2,FALSE)</x:f>
        <x:v>120</x:v>
      </x:c>
      <x:c r="O39" s="41" t="n">
        <x:f>IF(H39&lt;=N39,'制度参数'!$B$21,IF(H39&lt;=N39*'制度参数'!$B$24,'制度参数'!$B$22,'制度参数'!$B$23))</x:f>
        <x:v>0.8</x:v>
      </x:c>
      <x:c r="P39" s="31" t="n">
        <x:f>L39*M39*O39</x:f>
        <x:v>1.6</x:v>
      </x:c>
      <x:c r="Q39" s="1" t="n">
        <x:f>L39*I39</x:f>
        <x:v>0</x:v>
      </x:c>
      <x:c r="R39" s="39" t="str">
        <x:f>IF(L39=1,"有效计件",IF(J39=1,"人员无计奖资格",IF(OR(C39&lt;'制度参数'!$B$13,C39&gt;'制度参数'!$B$14),"关闭日期不在本月",IF(D39&lt;&gt;"已关闭","非已关闭","复核非有效"))))</x:f>
        <x:v>有效计件</x:v>
      </x:c>
    </x:row>
    <x:row r="40" ht="24" customHeight="1">
      <x:c r="A40" s="9" t="str">
        <x:v>T104-003</x:v>
      </x:c>
      <x:c r="B40" s="9" t="str">
        <x:v>CS104</x:v>
      </x:c>
      <x:c r="C40" s="13" t="n">
        <x:v>46273</x:v>
      </x:c>
      <x:c r="D40" s="9" t="str">
        <x:v>已关闭</x:v>
      </x:c>
      <x:c r="E40" s="9" t="str">
        <x:v>有效</x:v>
      </x:c>
      <x:c r="F40" s="9" t="str">
        <x:v>技术</x:v>
      </x:c>
      <x:c r="G40" s="9" t="str">
        <x:v>复杂</x:v>
      </x:c>
      <x:c r="H40" s="15" t="n">
        <x:v>720</x:v>
      </x:c>
      <x:c r="I40" s="9" t="n">
        <x:v>0</x:v>
      </x:c>
      <x:c r="J40" s="40" t="n">
        <x:f>IF(AND(C40&gt;='制度参数'!$B$13,C40&lt;='制度参数'!$B$14,D40="已关闭",E40="有效"),1,0)</x:f>
        <x:v>1</x:v>
      </x:c>
      <x:c r="K40" s="40" t="n">
        <x:f>VLOOKUP(B40,'员工计算'!$A$5:$H$16,8,FALSE)</x:f>
        <x:v>1</x:v>
      </x:c>
      <x:c r="L40" s="9" t="n">
        <x:f>J40*K40</x:f>
        <x:v>1</x:v>
      </x:c>
      <x:c r="M40" s="42" t="n">
        <x:f>VLOOKUP(G40,'制度参数'!$H$5:$I$7,2,FALSE)</x:f>
        <x:v>1.5</x:v>
      </x:c>
      <x:c r="N40" s="40" t="n">
        <x:f>VLOOKUP(F40,'制度参数'!$K$5:$L$7,2,FALSE)</x:f>
        <x:v>240</x:v>
      </x:c>
      <x:c r="O40" s="42" t="n">
        <x:f>IF(H40&lt;=N40,'制度参数'!$B$21,IF(H40&lt;=N40*'制度参数'!$B$24,'制度参数'!$B$22,'制度参数'!$B$23))</x:f>
        <x:v>0.5</x:v>
      </x:c>
      <x:c r="P40" s="32" t="n">
        <x:f>L40*M40*O40</x:f>
        <x:v>0.75</x:v>
      </x:c>
      <x:c r="Q40" s="9" t="n">
        <x:f>L40*I40</x:f>
        <x:v>0</x:v>
      </x:c>
      <x:c r="R40" s="40" t="str">
        <x:f>IF(L40=1,"有效计件",IF(J40=1,"人员无计奖资格",IF(OR(C40&lt;'制度参数'!$B$13,C40&gt;'制度参数'!$B$14),"关闭日期不在本月",IF(D40&lt;&gt;"已关闭","非已关闭","复核非有效"))))</x:f>
        <x:v>有效计件</x:v>
      </x:c>
    </x:row>
    <x:row r="41" ht="24" customHeight="1">
      <x:c r="A41" s="1" t="str">
        <x:v>T104-004</x:v>
      </x:c>
      <x:c r="B41" s="1" t="str">
        <x:v>CS104</x:v>
      </x:c>
      <x:c r="C41" s="12" t="n">
        <x:v>46275</x:v>
      </x:c>
      <x:c r="D41" s="1" t="str">
        <x:v>已关闭</x:v>
      </x:c>
      <x:c r="E41" s="1" t="str">
        <x:v>有效</x:v>
      </x:c>
      <x:c r="F41" s="1" t="str">
        <x:v>咨询</x:v>
      </x:c>
      <x:c r="G41" s="1" t="str">
        <x:v>普通</x:v>
      </x:c>
      <x:c r="H41" s="14" t="n">
        <x:v>30</x:v>
      </x:c>
      <x:c r="I41" s="1" t="n">
        <x:v>1</x:v>
      </x:c>
      <x:c r="J41" s="39" t="n">
        <x:f>IF(AND(C41&gt;='制度参数'!$B$13,C41&lt;='制度参数'!$B$14,D41="已关闭",E41="有效"),1,0)</x:f>
        <x:v>1</x:v>
      </x:c>
      <x:c r="K41" s="39" t="n">
        <x:f>VLOOKUP(B41,'员工计算'!$A$5:$H$16,8,FALSE)</x:f>
        <x:v>1</x:v>
      </x:c>
      <x:c r="L41" s="1" t="n">
        <x:f>J41*K41</x:f>
        <x:v>1</x:v>
      </x:c>
      <x:c r="M41" s="41" t="n">
        <x:f>VLOOKUP(G41,'制度参数'!$H$5:$I$7,2,FALSE)</x:f>
        <x:v>1</x:v>
      </x:c>
      <x:c r="N41" s="39" t="n">
        <x:f>VLOOKUP(F41,'制度参数'!$K$5:$L$7,2,FALSE)</x:f>
        <x:v>30</x:v>
      </x:c>
      <x:c r="O41" s="41" t="n">
        <x:f>IF(H41&lt;=N41,'制度参数'!$B$21,IF(H41&lt;=N41*'制度参数'!$B$24,'制度参数'!$B$22,'制度参数'!$B$23))</x:f>
        <x:v>1.1</x:v>
      </x:c>
      <x:c r="P41" s="31" t="n">
        <x:f>L41*M41*O41</x:f>
        <x:v>1.1</x:v>
      </x:c>
      <x:c r="Q41" s="1" t="n">
        <x:f>L41*I41</x:f>
        <x:v>1</x:v>
      </x:c>
      <x:c r="R41" s="39" t="str">
        <x:f>IF(L41=1,"有效计件",IF(J41=1,"人员无计奖资格",IF(OR(C41&lt;'制度参数'!$B$13,C41&gt;'制度参数'!$B$14),"关闭日期不在本月",IF(D41&lt;&gt;"已关闭","非已关闭","复核非有效"))))</x:f>
        <x:v>有效计件</x:v>
      </x:c>
    </x:row>
    <x:row r="42" ht="24" customHeight="1">
      <x:c r="A42" s="9" t="str">
        <x:v>T104-005</x:v>
      </x:c>
      <x:c r="B42" s="9" t="str">
        <x:v>CS104</x:v>
      </x:c>
      <x:c r="C42" s="13" t="n">
        <x:v>46277</x:v>
      </x:c>
      <x:c r="D42" s="9" t="str">
        <x:v>已关闭</x:v>
      </x:c>
      <x:c r="E42" s="9" t="str">
        <x:v>有效</x:v>
      </x:c>
      <x:c r="F42" s="9" t="str">
        <x:v>投诉</x:v>
      </x:c>
      <x:c r="G42" s="9" t="str">
        <x:v>紧急</x:v>
      </x:c>
      <x:c r="H42" s="15" t="n">
        <x:v>240</x:v>
      </x:c>
      <x:c r="I42" s="9" t="n">
        <x:v>0</x:v>
      </x:c>
      <x:c r="J42" s="40" t="n">
        <x:f>IF(AND(C42&gt;='制度参数'!$B$13,C42&lt;='制度参数'!$B$14,D42="已关闭",E42="有效"),1,0)</x:f>
        <x:v>1</x:v>
      </x:c>
      <x:c r="K42" s="40" t="n">
        <x:f>VLOOKUP(B42,'员工计算'!$A$5:$H$16,8,FALSE)</x:f>
        <x:v>1</x:v>
      </x:c>
      <x:c r="L42" s="9" t="n">
        <x:f>J42*K42</x:f>
        <x:v>1</x:v>
      </x:c>
      <x:c r="M42" s="42" t="n">
        <x:f>VLOOKUP(G42,'制度参数'!$H$5:$I$7,2,FALSE)</x:f>
        <x:v>2</x:v>
      </x:c>
      <x:c r="N42" s="40" t="n">
        <x:f>VLOOKUP(F42,'制度参数'!$K$5:$L$7,2,FALSE)</x:f>
        <x:v>120</x:v>
      </x:c>
      <x:c r="O42" s="42" t="n">
        <x:f>IF(H42&lt;=N42,'制度参数'!$B$21,IF(H42&lt;=N42*'制度参数'!$B$24,'制度参数'!$B$22,'制度参数'!$B$23))</x:f>
        <x:v>0.8</x:v>
      </x:c>
      <x:c r="P42" s="32" t="n">
        <x:f>L42*M42*O42</x:f>
        <x:v>1.6</x:v>
      </x:c>
      <x:c r="Q42" s="9" t="n">
        <x:f>L42*I42</x:f>
        <x:v>0</x:v>
      </x:c>
      <x:c r="R42" s="40" t="str">
        <x:f>IF(L42=1,"有效计件",IF(J42=1,"人员无计奖资格",IF(OR(C42&lt;'制度参数'!$B$13,C42&gt;'制度参数'!$B$14),"关闭日期不在本月",IF(D42&lt;&gt;"已关闭","非已关闭","复核非有效"))))</x:f>
        <x:v>有效计件</x:v>
      </x:c>
    </x:row>
    <x:row r="43" ht="24" customHeight="1">
      <x:c r="A43" s="1" t="str">
        <x:v>T104-006</x:v>
      </x:c>
      <x:c r="B43" s="1" t="str">
        <x:v>CS104</x:v>
      </x:c>
      <x:c r="C43" s="12" t="n">
        <x:v>46279</x:v>
      </x:c>
      <x:c r="D43" s="1" t="str">
        <x:v>已关闭</x:v>
      </x:c>
      <x:c r="E43" s="1" t="str">
        <x:v>有效</x:v>
      </x:c>
      <x:c r="F43" s="1" t="str">
        <x:v>技术</x:v>
      </x:c>
      <x:c r="G43" s="1" t="str">
        <x:v>复杂</x:v>
      </x:c>
      <x:c r="H43" s="14" t="n">
        <x:v>482.4</x:v>
      </x:c>
      <x:c r="I43" s="1" t="n">
        <x:v>2</x:v>
      </x:c>
      <x:c r="J43" s="39" t="n">
        <x:f>IF(AND(C43&gt;='制度参数'!$B$13,C43&lt;='制度参数'!$B$14,D43="已关闭",E43="有效"),1,0)</x:f>
        <x:v>1</x:v>
      </x:c>
      <x:c r="K43" s="39" t="n">
        <x:f>VLOOKUP(B43,'员工计算'!$A$5:$H$16,8,FALSE)</x:f>
        <x:v>1</x:v>
      </x:c>
      <x:c r="L43" s="1" t="n">
        <x:f>J43*K43</x:f>
        <x:v>1</x:v>
      </x:c>
      <x:c r="M43" s="41" t="n">
        <x:f>VLOOKUP(G43,'制度参数'!$H$5:$I$7,2,FALSE)</x:f>
        <x:v>1.5</x:v>
      </x:c>
      <x:c r="N43" s="39" t="n">
        <x:f>VLOOKUP(F43,'制度参数'!$K$5:$L$7,2,FALSE)</x:f>
        <x:v>240</x:v>
      </x:c>
      <x:c r="O43" s="41" t="n">
        <x:f>IF(H43&lt;=N43,'制度参数'!$B$21,IF(H43&lt;=N43*'制度参数'!$B$24,'制度参数'!$B$22,'制度参数'!$B$23))</x:f>
        <x:v>0.5</x:v>
      </x:c>
      <x:c r="P43" s="31" t="n">
        <x:f>L43*M43*O43</x:f>
        <x:v>0.75</x:v>
      </x:c>
      <x:c r="Q43" s="1" t="n">
        <x:f>L43*I43</x:f>
        <x:v>2</x:v>
      </x:c>
      <x:c r="R43" s="39" t="str">
        <x:f>IF(L43=1,"有效计件",IF(J43=1,"人员无计奖资格",IF(OR(C43&lt;'制度参数'!$B$13,C43&gt;'制度参数'!$B$14),"关闭日期不在本月",IF(D43&lt;&gt;"已关闭","非已关闭","复核非有效"))))</x:f>
        <x:v>有效计件</x:v>
      </x:c>
    </x:row>
    <x:row r="44" ht="24" customHeight="1">
      <x:c r="A44" s="9" t="str">
        <x:v>T104-007</x:v>
      </x:c>
      <x:c r="B44" s="9" t="str">
        <x:v>CS104</x:v>
      </x:c>
      <x:c r="C44" s="13" t="n">
        <x:v>46281</x:v>
      </x:c>
      <x:c r="D44" s="9" t="str">
        <x:v>已关闭</x:v>
      </x:c>
      <x:c r="E44" s="9" t="str">
        <x:v>有效</x:v>
      </x:c>
      <x:c r="F44" s="9" t="str">
        <x:v>咨询</x:v>
      </x:c>
      <x:c r="G44" s="9" t="str">
        <x:v>普通</x:v>
      </x:c>
      <x:c r="H44" s="15" t="n">
        <x:v>24</x:v>
      </x:c>
      <x:c r="I44" s="9" t="n">
        <x:v>0</x:v>
      </x:c>
      <x:c r="J44" s="40" t="n">
        <x:f>IF(AND(C44&gt;='制度参数'!$B$13,C44&lt;='制度参数'!$B$14,D44="已关闭",E44="有效"),1,0)</x:f>
        <x:v>1</x:v>
      </x:c>
      <x:c r="K44" s="40" t="n">
        <x:f>VLOOKUP(B44,'员工计算'!$A$5:$H$16,8,FALSE)</x:f>
        <x:v>1</x:v>
      </x:c>
      <x:c r="L44" s="9" t="n">
        <x:f>J44*K44</x:f>
        <x:v>1</x:v>
      </x:c>
      <x:c r="M44" s="42" t="n">
        <x:f>VLOOKUP(G44,'制度参数'!$H$5:$I$7,2,FALSE)</x:f>
        <x:v>1</x:v>
      </x:c>
      <x:c r="N44" s="40" t="n">
        <x:f>VLOOKUP(F44,'制度参数'!$K$5:$L$7,2,FALSE)</x:f>
        <x:v>30</x:v>
      </x:c>
      <x:c r="O44" s="42" t="n">
        <x:f>IF(H44&lt;=N44,'制度参数'!$B$21,IF(H44&lt;=N44*'制度参数'!$B$24,'制度参数'!$B$22,'制度参数'!$B$23))</x:f>
        <x:v>1.1</x:v>
      </x:c>
      <x:c r="P44" s="32" t="n">
        <x:f>L44*M44*O44</x:f>
        <x:v>1.1</x:v>
      </x:c>
      <x:c r="Q44" s="9" t="n">
        <x:f>L44*I44</x:f>
        <x:v>0</x:v>
      </x:c>
      <x:c r="R44" s="40" t="str">
        <x:f>IF(L44=1,"有效计件",IF(J44=1,"人员无计奖资格",IF(OR(C44&lt;'制度参数'!$B$13,C44&gt;'制度参数'!$B$14),"关闭日期不在本月",IF(D44&lt;&gt;"已关闭","非已关闭","复核非有效"))))</x:f>
        <x:v>有效计件</x:v>
      </x:c>
    </x:row>
    <x:row r="45" ht="24" customHeight="1">
      <x:c r="A45" s="1" t="str">
        <x:v>T104-008</x:v>
      </x:c>
      <x:c r="B45" s="1" t="str">
        <x:v>CS104</x:v>
      </x:c>
      <x:c r="C45" s="12" t="n">
        <x:v>46283</x:v>
      </x:c>
      <x:c r="D45" s="1" t="str">
        <x:v>已关闭</x:v>
      </x:c>
      <x:c r="E45" s="1" t="str">
        <x:v>有效</x:v>
      </x:c>
      <x:c r="F45" s="1" t="str">
        <x:v>投诉</x:v>
      </x:c>
      <x:c r="G45" s="1" t="str">
        <x:v>紧急</x:v>
      </x:c>
      <x:c r="H45" s="14" t="n">
        <x:v>180</x:v>
      </x:c>
      <x:c r="I45" s="1" t="n">
        <x:v>0</x:v>
      </x:c>
      <x:c r="J45" s="39" t="n">
        <x:f>IF(AND(C45&gt;='制度参数'!$B$13,C45&lt;='制度参数'!$B$14,D45="已关闭",E45="有效"),1,0)</x:f>
        <x:v>1</x:v>
      </x:c>
      <x:c r="K45" s="39" t="n">
        <x:f>VLOOKUP(B45,'员工计算'!$A$5:$H$16,8,FALSE)</x:f>
        <x:v>1</x:v>
      </x:c>
      <x:c r="L45" s="1" t="n">
        <x:f>J45*K45</x:f>
        <x:v>1</x:v>
      </x:c>
      <x:c r="M45" s="41" t="n">
        <x:f>VLOOKUP(G45,'制度参数'!$H$5:$I$7,2,FALSE)</x:f>
        <x:v>2</x:v>
      </x:c>
      <x:c r="N45" s="39" t="n">
        <x:f>VLOOKUP(F45,'制度参数'!$K$5:$L$7,2,FALSE)</x:f>
        <x:v>120</x:v>
      </x:c>
      <x:c r="O45" s="41" t="n">
        <x:f>IF(H45&lt;=N45,'制度参数'!$B$21,IF(H45&lt;=N45*'制度参数'!$B$24,'制度参数'!$B$22,'制度参数'!$B$23))</x:f>
        <x:v>0.8</x:v>
      </x:c>
      <x:c r="P45" s="31" t="n">
        <x:f>L45*M45*O45</x:f>
        <x:v>1.6</x:v>
      </x:c>
      <x:c r="Q45" s="1" t="n">
        <x:f>L45*I45</x:f>
        <x:v>0</x:v>
      </x:c>
      <x:c r="R45" s="39" t="str">
        <x:f>IF(L45=1,"有效计件",IF(J45=1,"人员无计奖资格",IF(OR(C45&lt;'制度参数'!$B$13,C45&gt;'制度参数'!$B$14),"关闭日期不在本月",IF(D45&lt;&gt;"已关闭","非已关闭","复核非有效"))))</x:f>
        <x:v>有效计件</x:v>
      </x:c>
    </x:row>
    <x:row r="46" ht="24" customHeight="1">
      <x:c r="A46" s="9" t="str">
        <x:v>T104-009</x:v>
      </x:c>
      <x:c r="B46" s="9" t="str">
        <x:v>CS104</x:v>
      </x:c>
      <x:c r="C46" s="13" t="n">
        <x:v>46285</x:v>
      </x:c>
      <x:c r="D46" s="9" t="str">
        <x:v>已关闭</x:v>
      </x:c>
      <x:c r="E46" s="9" t="str">
        <x:v>有效</x:v>
      </x:c>
      <x:c r="F46" s="9" t="str">
        <x:v>技术</x:v>
      </x:c>
      <x:c r="G46" s="9" t="str">
        <x:v>复杂</x:v>
      </x:c>
      <x:c r="H46" s="15" t="n">
        <x:v>720</x:v>
      </x:c>
      <x:c r="I46" s="9" t="n">
        <x:v>1</x:v>
      </x:c>
      <x:c r="J46" s="40" t="n">
        <x:f>IF(AND(C46&gt;='制度参数'!$B$13,C46&lt;='制度参数'!$B$14,D46="已关闭",E46="有效"),1,0)</x:f>
        <x:v>1</x:v>
      </x:c>
      <x:c r="K46" s="40" t="n">
        <x:f>VLOOKUP(B46,'员工计算'!$A$5:$H$16,8,FALSE)</x:f>
        <x:v>1</x:v>
      </x:c>
      <x:c r="L46" s="9" t="n">
        <x:f>J46*K46</x:f>
        <x:v>1</x:v>
      </x:c>
      <x:c r="M46" s="42" t="n">
        <x:f>VLOOKUP(G46,'制度参数'!$H$5:$I$7,2,FALSE)</x:f>
        <x:v>1.5</x:v>
      </x:c>
      <x:c r="N46" s="40" t="n">
        <x:f>VLOOKUP(F46,'制度参数'!$K$5:$L$7,2,FALSE)</x:f>
        <x:v>240</x:v>
      </x:c>
      <x:c r="O46" s="42" t="n">
        <x:f>IF(H46&lt;=N46,'制度参数'!$B$21,IF(H46&lt;=N46*'制度参数'!$B$24,'制度参数'!$B$22,'制度参数'!$B$23))</x:f>
        <x:v>0.5</x:v>
      </x:c>
      <x:c r="P46" s="32" t="n">
        <x:f>L46*M46*O46</x:f>
        <x:v>0.75</x:v>
      </x:c>
      <x:c r="Q46" s="9" t="n">
        <x:f>L46*I46</x:f>
        <x:v>1</x:v>
      </x:c>
      <x:c r="R46" s="40" t="str">
        <x:f>IF(L46=1,"有效计件",IF(J46=1,"人员无计奖资格",IF(OR(C46&lt;'制度参数'!$B$13,C46&gt;'制度参数'!$B$14),"关闭日期不在本月",IF(D46&lt;&gt;"已关闭","非已关闭","复核非有效"))))</x:f>
        <x:v>有效计件</x:v>
      </x:c>
    </x:row>
    <x:row r="47" ht="24" customHeight="1">
      <x:c r="A47" s="1" t="str">
        <x:v>T104-010</x:v>
      </x:c>
      <x:c r="B47" s="1" t="str">
        <x:v>CS104</x:v>
      </x:c>
      <x:c r="C47" s="12" t="n">
        <x:v>46287</x:v>
      </x:c>
      <x:c r="D47" s="1" t="str">
        <x:v>处理中</x:v>
      </x:c>
      <x:c r="E47" s="1" t="str">
        <x:v>有效</x:v>
      </x:c>
      <x:c r="F47" s="1" t="str">
        <x:v>咨询</x:v>
      </x:c>
      <x:c r="G47" s="1" t="str">
        <x:v>普通</x:v>
      </x:c>
      <x:c r="H47" s="14" t="n">
        <x:v>30</x:v>
      </x:c>
      <x:c r="I47" s="1" t="n">
        <x:v>0</x:v>
      </x:c>
      <x:c r="J47" s="39" t="n">
        <x:f>IF(AND(C47&gt;='制度参数'!$B$13,C47&lt;='制度参数'!$B$14,D47="已关闭",E47="有效"),1,0)</x:f>
        <x:v>0</x:v>
      </x:c>
      <x:c r="K47" s="39" t="n">
        <x:f>VLOOKUP(B47,'员工计算'!$A$5:$H$16,8,FALSE)</x:f>
        <x:v>1</x:v>
      </x:c>
      <x:c r="L47" s="1" t="n">
        <x:f>J47*K47</x:f>
        <x:v>0</x:v>
      </x:c>
      <x:c r="M47" s="41" t="n">
        <x:f>VLOOKUP(G47,'制度参数'!$H$5:$I$7,2,FALSE)</x:f>
        <x:v>1</x:v>
      </x:c>
      <x:c r="N47" s="39" t="n">
        <x:f>VLOOKUP(F47,'制度参数'!$K$5:$L$7,2,FALSE)</x:f>
        <x:v>30</x:v>
      </x:c>
      <x:c r="O47" s="41" t="n">
        <x:f>IF(H47&lt;=N47,'制度参数'!$B$21,IF(H47&lt;=N47*'制度参数'!$B$24,'制度参数'!$B$22,'制度参数'!$B$23))</x:f>
        <x:v>1.1</x:v>
      </x:c>
      <x:c r="P47" s="31" t="n">
        <x:f>L47*M47*O47</x:f>
        <x:v>0</x:v>
      </x:c>
      <x:c r="Q47" s="1" t="n">
        <x:f>L47*I47</x:f>
        <x:v>0</x:v>
      </x:c>
      <x:c r="R47" s="39" t="str">
        <x:f>IF(L47=1,"有效计件",IF(J47=1,"人员无计奖资格",IF(OR(C47&lt;'制度参数'!$B$13,C47&gt;'制度参数'!$B$14),"关闭日期不在本月",IF(D47&lt;&gt;"已关闭","非已关闭","复核非有效"))))</x:f>
        <x:v>非已关闭</x:v>
      </x:c>
    </x:row>
    <x:row r="48" ht="24" customHeight="1">
      <x:c r="A48" s="9" t="str">
        <x:v>T104-011</x:v>
      </x:c>
      <x:c r="B48" s="9" t="str">
        <x:v>CS104</x:v>
      </x:c>
      <x:c r="C48" s="13" t="n">
        <x:v>46289</x:v>
      </x:c>
      <x:c r="D48" s="9" t="str">
        <x:v>已作废</x:v>
      </x:c>
      <x:c r="E48" s="9" t="str">
        <x:v>有效</x:v>
      </x:c>
      <x:c r="F48" s="9" t="str">
        <x:v>投诉</x:v>
      </x:c>
      <x:c r="G48" s="9" t="str">
        <x:v>紧急</x:v>
      </x:c>
      <x:c r="H48" s="15" t="n">
        <x:v>240</x:v>
      </x:c>
      <x:c r="I48" s="9" t="n">
        <x:v>2</x:v>
      </x:c>
      <x:c r="J48" s="40" t="n">
        <x:f>IF(AND(C48&gt;='制度参数'!$B$13,C48&lt;='制度参数'!$B$14,D48="已关闭",E48="有效"),1,0)</x:f>
        <x:v>0</x:v>
      </x:c>
      <x:c r="K48" s="40" t="n">
        <x:f>VLOOKUP(B48,'员工计算'!$A$5:$H$16,8,FALSE)</x:f>
        <x:v>1</x:v>
      </x:c>
      <x:c r="L48" s="9" t="n">
        <x:f>J48*K48</x:f>
        <x:v>0</x:v>
      </x:c>
      <x:c r="M48" s="42" t="n">
        <x:f>VLOOKUP(G48,'制度参数'!$H$5:$I$7,2,FALSE)</x:f>
        <x:v>2</x:v>
      </x:c>
      <x:c r="N48" s="40" t="n">
        <x:f>VLOOKUP(F48,'制度参数'!$K$5:$L$7,2,FALSE)</x:f>
        <x:v>120</x:v>
      </x:c>
      <x:c r="O48" s="42" t="n">
        <x:f>IF(H48&lt;=N48,'制度参数'!$B$21,IF(H48&lt;=N48*'制度参数'!$B$24,'制度参数'!$B$22,'制度参数'!$B$23))</x:f>
        <x:v>0.8</x:v>
      </x:c>
      <x:c r="P48" s="32" t="n">
        <x:f>L48*M48*O48</x:f>
        <x:v>0</x:v>
      </x:c>
      <x:c r="Q48" s="9" t="n">
        <x:f>L48*I48</x:f>
        <x:v>0</x:v>
      </x:c>
      <x:c r="R48" s="40" t="str">
        <x:f>IF(L48=1,"有效计件",IF(J48=1,"人员无计奖资格",IF(OR(C48&lt;'制度参数'!$B$13,C48&gt;'制度参数'!$B$14),"关闭日期不在本月",IF(D48&lt;&gt;"已关闭","非已关闭","复核非有效"))))</x:f>
        <x:v>非已关闭</x:v>
      </x:c>
    </x:row>
    <x:row r="49" ht="24" customHeight="1">
      <x:c r="A49" s="1" t="str">
        <x:v>T104-012</x:v>
      </x:c>
      <x:c r="B49" s="1" t="str">
        <x:v>CS104</x:v>
      </x:c>
      <x:c r="C49" s="12" t="n">
        <x:v>46265</x:v>
      </x:c>
      <x:c r="D49" s="1" t="str">
        <x:v>已关闭</x:v>
      </x:c>
      <x:c r="E49" s="1" t="str">
        <x:v>有效</x:v>
      </x:c>
      <x:c r="F49" s="1" t="str">
        <x:v>技术</x:v>
      </x:c>
      <x:c r="G49" s="1" t="str">
        <x:v>复杂</x:v>
      </x:c>
      <x:c r="H49" s="14" t="n">
        <x:v>482.4</x:v>
      </x:c>
      <x:c r="I49" s="1" t="n">
        <x:v>0</x:v>
      </x:c>
      <x:c r="J49" s="39" t="n">
        <x:f>IF(AND(C49&gt;='制度参数'!$B$13,C49&lt;='制度参数'!$B$14,D49="已关闭",E49="有效"),1,0)</x:f>
        <x:v>0</x:v>
      </x:c>
      <x:c r="K49" s="39" t="n">
        <x:f>VLOOKUP(B49,'员工计算'!$A$5:$H$16,8,FALSE)</x:f>
        <x:v>1</x:v>
      </x:c>
      <x:c r="L49" s="1" t="n">
        <x:f>J49*K49</x:f>
        <x:v>0</x:v>
      </x:c>
      <x:c r="M49" s="41" t="n">
        <x:f>VLOOKUP(G49,'制度参数'!$H$5:$I$7,2,FALSE)</x:f>
        <x:v>1.5</x:v>
      </x:c>
      <x:c r="N49" s="39" t="n">
        <x:f>VLOOKUP(F49,'制度参数'!$K$5:$L$7,2,FALSE)</x:f>
        <x:v>240</x:v>
      </x:c>
      <x:c r="O49" s="41" t="n">
        <x:f>IF(H49&lt;=N49,'制度参数'!$B$21,IF(H49&lt;=N49*'制度参数'!$B$24,'制度参数'!$B$22,'制度参数'!$B$23))</x:f>
        <x:v>0.5</x:v>
      </x:c>
      <x:c r="P49" s="31" t="n">
        <x:f>L49*M49*O49</x:f>
        <x:v>0</x:v>
      </x:c>
      <x:c r="Q49" s="1" t="n">
        <x:f>L49*I49</x:f>
        <x:v>0</x:v>
      </x:c>
      <x:c r="R49" s="39" t="str">
        <x:f>IF(L49=1,"有效计件",IF(J49=1,"人员无计奖资格",IF(OR(C49&lt;'制度参数'!$B$13,C49&gt;'制度参数'!$B$14),"关闭日期不在本月",IF(D49&lt;&gt;"已关闭","非已关闭","复核非有效"))))</x:f>
        <x:v>关闭日期不在本月</x:v>
      </x:c>
    </x:row>
    <x:row r="50" ht="24" customHeight="1">
      <x:c r="A50" s="9" t="str">
        <x:v>T104-013</x:v>
      </x:c>
      <x:c r="B50" s="9" t="str">
        <x:v>CS104</x:v>
      </x:c>
      <x:c r="C50" s="13" t="n">
        <x:v>46296</x:v>
      </x:c>
      <x:c r="D50" s="9" t="str">
        <x:v>已关闭</x:v>
      </x:c>
      <x:c r="E50" s="9" t="str">
        <x:v>有效</x:v>
      </x:c>
      <x:c r="F50" s="9" t="str">
        <x:v>咨询</x:v>
      </x:c>
      <x:c r="G50" s="9" t="str">
        <x:v>普通</x:v>
      </x:c>
      <x:c r="H50" s="15" t="n">
        <x:v>24</x:v>
      </x:c>
      <x:c r="I50" s="9" t="n">
        <x:v>0</x:v>
      </x:c>
      <x:c r="J50" s="40" t="n">
        <x:f>IF(AND(C50&gt;='制度参数'!$B$13,C50&lt;='制度参数'!$B$14,D50="已关闭",E50="有效"),1,0)</x:f>
        <x:v>0</x:v>
      </x:c>
      <x:c r="K50" s="40" t="n">
        <x:f>VLOOKUP(B50,'员工计算'!$A$5:$H$16,8,FALSE)</x:f>
        <x:v>1</x:v>
      </x:c>
      <x:c r="L50" s="9" t="n">
        <x:f>J50*K50</x:f>
        <x:v>0</x:v>
      </x:c>
      <x:c r="M50" s="42" t="n">
        <x:f>VLOOKUP(G50,'制度参数'!$H$5:$I$7,2,FALSE)</x:f>
        <x:v>1</x:v>
      </x:c>
      <x:c r="N50" s="40" t="n">
        <x:f>VLOOKUP(F50,'制度参数'!$K$5:$L$7,2,FALSE)</x:f>
        <x:v>30</x:v>
      </x:c>
      <x:c r="O50" s="42" t="n">
        <x:f>IF(H50&lt;=N50,'制度参数'!$B$21,IF(H50&lt;=N50*'制度参数'!$B$24,'制度参数'!$B$22,'制度参数'!$B$23))</x:f>
        <x:v>1.1</x:v>
      </x:c>
      <x:c r="P50" s="32" t="n">
        <x:f>L50*M50*O50</x:f>
        <x:v>0</x:v>
      </x:c>
      <x:c r="Q50" s="9" t="n">
        <x:f>L50*I50</x:f>
        <x:v>0</x:v>
      </x:c>
      <x:c r="R50" s="40" t="str">
        <x:f>IF(L50=1,"有效计件",IF(J50=1,"人员无计奖资格",IF(OR(C50&lt;'制度参数'!$B$13,C50&gt;'制度参数'!$B$14),"关闭日期不在本月",IF(D50&lt;&gt;"已关闭","非已关闭","复核非有效"))))</x:f>
        <x:v>关闭日期不在本月</x:v>
      </x:c>
    </x:row>
    <x:row r="51" ht="24" customHeight="1">
      <x:c r="A51" s="1" t="str">
        <x:v>T104-014</x:v>
      </x:c>
      <x:c r="B51" s="1" t="str">
        <x:v>CS104</x:v>
      </x:c>
      <x:c r="C51" s="12" t="n">
        <x:v>46295</x:v>
      </x:c>
      <x:c r="D51" s="1" t="str">
        <x:v>已关闭</x:v>
      </x:c>
      <x:c r="E51" s="1" t="str">
        <x:v>待确认</x:v>
      </x:c>
      <x:c r="F51" s="1" t="str">
        <x:v>投诉</x:v>
      </x:c>
      <x:c r="G51" s="1" t="str">
        <x:v>紧急</x:v>
      </x:c>
      <x:c r="H51" s="14" t="n">
        <x:v>180</x:v>
      </x:c>
      <x:c r="I51" s="1" t="n">
        <x:v>1</x:v>
      </x:c>
      <x:c r="J51" s="39" t="n">
        <x:f>IF(AND(C51&gt;='制度参数'!$B$13,C51&lt;='制度参数'!$B$14,D51="已关闭",E51="有效"),1,0)</x:f>
        <x:v>0</x:v>
      </x:c>
      <x:c r="K51" s="39" t="n">
        <x:f>VLOOKUP(B51,'员工计算'!$A$5:$H$16,8,FALSE)</x:f>
        <x:v>1</x:v>
      </x:c>
      <x:c r="L51" s="1" t="n">
        <x:f>J51*K51</x:f>
        <x:v>0</x:v>
      </x:c>
      <x:c r="M51" s="41" t="n">
        <x:f>VLOOKUP(G51,'制度参数'!$H$5:$I$7,2,FALSE)</x:f>
        <x:v>2</x:v>
      </x:c>
      <x:c r="N51" s="39" t="n">
        <x:f>VLOOKUP(F51,'制度参数'!$K$5:$L$7,2,FALSE)</x:f>
        <x:v>120</x:v>
      </x:c>
      <x:c r="O51" s="41" t="n">
        <x:f>IF(H51&lt;=N51,'制度参数'!$B$21,IF(H51&lt;=N51*'制度参数'!$B$24,'制度参数'!$B$22,'制度参数'!$B$23))</x:f>
        <x:v>0.8</x:v>
      </x:c>
      <x:c r="P51" s="31" t="n">
        <x:f>L51*M51*O51</x:f>
        <x:v>0</x:v>
      </x:c>
      <x:c r="Q51" s="1" t="n">
        <x:f>L51*I51</x:f>
        <x:v>0</x:v>
      </x:c>
      <x:c r="R51" s="39" t="str">
        <x:f>IF(L51=1,"有效计件",IF(J51=1,"人员无计奖资格",IF(OR(C51&lt;'制度参数'!$B$13,C51&gt;'制度参数'!$B$14),"关闭日期不在本月",IF(D51&lt;&gt;"已关闭","非已关闭","复核非有效"))))</x:f>
        <x:v>复核非有效</x:v>
      </x:c>
    </x:row>
    <x:row r="52" ht="24" customHeight="1">
      <x:c r="A52" s="9" t="str">
        <x:v>T104-015</x:v>
      </x:c>
      <x:c r="B52" s="9" t="str">
        <x:v>CS104</x:v>
      </x:c>
      <x:c r="C52" s="13" t="n">
        <x:v>46267</x:v>
      </x:c>
      <x:c r="D52" s="9" t="str">
        <x:v>已关闭</x:v>
      </x:c>
      <x:c r="E52" s="9" t="str">
        <x:v>无效</x:v>
      </x:c>
      <x:c r="F52" s="9" t="str">
        <x:v>技术</x:v>
      </x:c>
      <x:c r="G52" s="9" t="str">
        <x:v>复杂</x:v>
      </x:c>
      <x:c r="H52" s="15" t="n">
        <x:v>720</x:v>
      </x:c>
      <x:c r="I52" s="9" t="n">
        <x:v>0</x:v>
      </x:c>
      <x:c r="J52" s="40" t="n">
        <x:f>IF(AND(C52&gt;='制度参数'!$B$13,C52&lt;='制度参数'!$B$14,D52="已关闭",E52="有效"),1,0)</x:f>
        <x:v>0</x:v>
      </x:c>
      <x:c r="K52" s="40" t="n">
        <x:f>VLOOKUP(B52,'员工计算'!$A$5:$H$16,8,FALSE)</x:f>
        <x:v>1</x:v>
      </x:c>
      <x:c r="L52" s="9" t="n">
        <x:f>J52*K52</x:f>
        <x:v>0</x:v>
      </x:c>
      <x:c r="M52" s="42" t="n">
        <x:f>VLOOKUP(G52,'制度参数'!$H$5:$I$7,2,FALSE)</x:f>
        <x:v>1.5</x:v>
      </x:c>
      <x:c r="N52" s="40" t="n">
        <x:f>VLOOKUP(F52,'制度参数'!$K$5:$L$7,2,FALSE)</x:f>
        <x:v>240</x:v>
      </x:c>
      <x:c r="O52" s="42" t="n">
        <x:f>IF(H52&lt;=N52,'制度参数'!$B$21,IF(H52&lt;=N52*'制度参数'!$B$24,'制度参数'!$B$22,'制度参数'!$B$23))</x:f>
        <x:v>0.5</x:v>
      </x:c>
      <x:c r="P52" s="32" t="n">
        <x:f>L52*M52*O52</x:f>
        <x:v>0</x:v>
      </x:c>
      <x:c r="Q52" s="9" t="n">
        <x:f>L52*I52</x:f>
        <x:v>0</x:v>
      </x:c>
      <x:c r="R52" s="40" t="str">
        <x:f>IF(L52=1,"有效计件",IF(J52=1,"人员无计奖资格",IF(OR(C52&lt;'制度参数'!$B$13,C52&gt;'制度参数'!$B$14),"关闭日期不在本月",IF(D52&lt;&gt;"已关闭","非已关闭","复核非有效"))))</x:f>
        <x:v>复核非有效</x:v>
      </x:c>
    </x:row>
    <x:row r="53" ht="24" customHeight="1">
      <x:c r="A53" s="1" t="str">
        <x:v>T105-001</x:v>
      </x:c>
      <x:c r="B53" s="1" t="str">
        <x:v>CS105</x:v>
      </x:c>
      <x:c r="C53" s="12" t="n">
        <x:v>46270</x:v>
      </x:c>
      <x:c r="D53" s="1" t="str">
        <x:v>已关闭</x:v>
      </x:c>
      <x:c r="E53" s="1" t="str">
        <x:v>有效</x:v>
      </x:c>
      <x:c r="F53" s="1" t="str">
        <x:v>投诉</x:v>
      </x:c>
      <x:c r="G53" s="1" t="str">
        <x:v>复杂</x:v>
      </x:c>
      <x:c r="H53" s="14" t="n">
        <x:v>180</x:v>
      </x:c>
      <x:c r="I53" s="1" t="n">
        <x:v>0</x:v>
      </x:c>
      <x:c r="J53" s="39" t="n">
        <x:f>IF(AND(C53&gt;='制度参数'!$B$13,C53&lt;='制度参数'!$B$14,D53="已关闭",E53="有效"),1,0)</x:f>
        <x:v>1</x:v>
      </x:c>
      <x:c r="K53" s="39" t="n">
        <x:f>VLOOKUP(B53,'员工计算'!$A$5:$H$16,8,FALSE)</x:f>
        <x:v>1</x:v>
      </x:c>
      <x:c r="L53" s="1" t="n">
        <x:f>J53*K53</x:f>
        <x:v>1</x:v>
      </x:c>
      <x:c r="M53" s="41" t="n">
        <x:f>VLOOKUP(G53,'制度参数'!$H$5:$I$7,2,FALSE)</x:f>
        <x:v>1.5</x:v>
      </x:c>
      <x:c r="N53" s="39" t="n">
        <x:f>VLOOKUP(F53,'制度参数'!$K$5:$L$7,2,FALSE)</x:f>
        <x:v>120</x:v>
      </x:c>
      <x:c r="O53" s="41" t="n">
        <x:f>IF(H53&lt;=N53,'制度参数'!$B$21,IF(H53&lt;=N53*'制度参数'!$B$24,'制度参数'!$B$22,'制度参数'!$B$23))</x:f>
        <x:v>0.8</x:v>
      </x:c>
      <x:c r="P53" s="31" t="n">
        <x:f>L53*M53*O53</x:f>
        <x:v>1.2000000000000002</x:v>
      </x:c>
      <x:c r="Q53" s="1" t="n">
        <x:f>L53*I53</x:f>
        <x:v>0</x:v>
      </x:c>
      <x:c r="R53" s="39" t="str">
        <x:f>IF(L53=1,"有效计件",IF(J53=1,"人员无计奖资格",IF(OR(C53&lt;'制度参数'!$B$13,C53&gt;'制度参数'!$B$14),"关闭日期不在本月",IF(D53&lt;&gt;"已关闭","非已关闭","复核非有效"))))</x:f>
        <x:v>有效计件</x:v>
      </x:c>
    </x:row>
    <x:row r="54" ht="24" customHeight="1">
      <x:c r="A54" s="9" t="str">
        <x:v>T105-002</x:v>
      </x:c>
      <x:c r="B54" s="9" t="str">
        <x:v>CS105</x:v>
      </x:c>
      <x:c r="C54" s="13" t="n">
        <x:v>46272</x:v>
      </x:c>
      <x:c r="D54" s="9" t="str">
        <x:v>已关闭</x:v>
      </x:c>
      <x:c r="E54" s="9" t="str">
        <x:v>有效</x:v>
      </x:c>
      <x:c r="F54" s="9" t="str">
        <x:v>技术</x:v>
      </x:c>
      <x:c r="G54" s="9" t="str">
        <x:v>普通</x:v>
      </x:c>
      <x:c r="H54" s="15" t="n">
        <x:v>720</x:v>
      </x:c>
      <x:c r="I54" s="9" t="n">
        <x:v>0</x:v>
      </x:c>
      <x:c r="J54" s="40" t="n">
        <x:f>IF(AND(C54&gt;='制度参数'!$B$13,C54&lt;='制度参数'!$B$14,D54="已关闭",E54="有效"),1,0)</x:f>
        <x:v>1</x:v>
      </x:c>
      <x:c r="K54" s="40" t="n">
        <x:f>VLOOKUP(B54,'员工计算'!$A$5:$H$16,8,FALSE)</x:f>
        <x:v>1</x:v>
      </x:c>
      <x:c r="L54" s="9" t="n">
        <x:f>J54*K54</x:f>
        <x:v>1</x:v>
      </x:c>
      <x:c r="M54" s="42" t="n">
        <x:f>VLOOKUP(G54,'制度参数'!$H$5:$I$7,2,FALSE)</x:f>
        <x:v>1</x:v>
      </x:c>
      <x:c r="N54" s="40" t="n">
        <x:f>VLOOKUP(F54,'制度参数'!$K$5:$L$7,2,FALSE)</x:f>
        <x:v>240</x:v>
      </x:c>
      <x:c r="O54" s="42" t="n">
        <x:f>IF(H54&lt;=N54,'制度参数'!$B$21,IF(H54&lt;=N54*'制度参数'!$B$24,'制度参数'!$B$22,'制度参数'!$B$23))</x:f>
        <x:v>0.5</x:v>
      </x:c>
      <x:c r="P54" s="32" t="n">
        <x:f>L54*M54*O54</x:f>
        <x:v>0.5</x:v>
      </x:c>
      <x:c r="Q54" s="9" t="n">
        <x:f>L54*I54</x:f>
        <x:v>0</x:v>
      </x:c>
      <x:c r="R54" s="40" t="str">
        <x:f>IF(L54=1,"有效计件",IF(J54=1,"人员无计奖资格",IF(OR(C54&lt;'制度参数'!$B$13,C54&gt;'制度参数'!$B$14),"关闭日期不在本月",IF(D54&lt;&gt;"已关闭","非已关闭","复核非有效"))))</x:f>
        <x:v>有效计件</x:v>
      </x:c>
    </x:row>
    <x:row r="55" ht="24" customHeight="1">
      <x:c r="A55" s="1" t="str">
        <x:v>T105-003</x:v>
      </x:c>
      <x:c r="B55" s="1" t="str">
        <x:v>CS105</x:v>
      </x:c>
      <x:c r="C55" s="12" t="n">
        <x:v>46274</x:v>
      </x:c>
      <x:c r="D55" s="1" t="str">
        <x:v>已关闭</x:v>
      </x:c>
      <x:c r="E55" s="1" t="str">
        <x:v>有效</x:v>
      </x:c>
      <x:c r="F55" s="1" t="str">
        <x:v>咨询</x:v>
      </x:c>
      <x:c r="G55" s="1" t="str">
        <x:v>紧急</x:v>
      </x:c>
      <x:c r="H55" s="14" t="n">
        <x:v>30</x:v>
      </x:c>
      <x:c r="I55" s="1" t="n">
        <x:v>1</x:v>
      </x:c>
      <x:c r="J55" s="39" t="n">
        <x:f>IF(AND(C55&gt;='制度参数'!$B$13,C55&lt;='制度参数'!$B$14,D55="已关闭",E55="有效"),1,0)</x:f>
        <x:v>1</x:v>
      </x:c>
      <x:c r="K55" s="39" t="n">
        <x:f>VLOOKUP(B55,'员工计算'!$A$5:$H$16,8,FALSE)</x:f>
        <x:v>1</x:v>
      </x:c>
      <x:c r="L55" s="1" t="n">
        <x:f>J55*K55</x:f>
        <x:v>1</x:v>
      </x:c>
      <x:c r="M55" s="41" t="n">
        <x:f>VLOOKUP(G55,'制度参数'!$H$5:$I$7,2,FALSE)</x:f>
        <x:v>2</x:v>
      </x:c>
      <x:c r="N55" s="39" t="n">
        <x:f>VLOOKUP(F55,'制度参数'!$K$5:$L$7,2,FALSE)</x:f>
        <x:v>30</x:v>
      </x:c>
      <x:c r="O55" s="41" t="n">
        <x:f>IF(H55&lt;=N55,'制度参数'!$B$21,IF(H55&lt;=N55*'制度参数'!$B$24,'制度参数'!$B$22,'制度参数'!$B$23))</x:f>
        <x:v>1.1</x:v>
      </x:c>
      <x:c r="P55" s="31" t="n">
        <x:f>L55*M55*O55</x:f>
        <x:v>2.2</x:v>
      </x:c>
      <x:c r="Q55" s="1" t="n">
        <x:f>L55*I55</x:f>
        <x:v>1</x:v>
      </x:c>
      <x:c r="R55" s="39" t="str">
        <x:f>IF(L55=1,"有效计件",IF(J55=1,"人员无计奖资格",IF(OR(C55&lt;'制度参数'!$B$13,C55&gt;'制度参数'!$B$14),"关闭日期不在本月",IF(D55&lt;&gt;"已关闭","非已关闭","复核非有效"))))</x:f>
        <x:v>有效计件</x:v>
      </x:c>
    </x:row>
    <x:row r="56" ht="24" customHeight="1">
      <x:c r="A56" s="9" t="str">
        <x:v>T105-004</x:v>
      </x:c>
      <x:c r="B56" s="9" t="str">
        <x:v>CS105</x:v>
      </x:c>
      <x:c r="C56" s="13" t="n">
        <x:v>46276</x:v>
      </x:c>
      <x:c r="D56" s="9" t="str">
        <x:v>已关闭</x:v>
      </x:c>
      <x:c r="E56" s="9" t="str">
        <x:v>有效</x:v>
      </x:c>
      <x:c r="F56" s="9" t="str">
        <x:v>投诉</x:v>
      </x:c>
      <x:c r="G56" s="9" t="str">
        <x:v>复杂</x:v>
      </x:c>
      <x:c r="H56" s="15" t="n">
        <x:v>240</x:v>
      </x:c>
      <x:c r="I56" s="9" t="n">
        <x:v>0</x:v>
      </x:c>
      <x:c r="J56" s="40" t="n">
        <x:f>IF(AND(C56&gt;='制度参数'!$B$13,C56&lt;='制度参数'!$B$14,D56="已关闭",E56="有效"),1,0)</x:f>
        <x:v>1</x:v>
      </x:c>
      <x:c r="K56" s="40" t="n">
        <x:f>VLOOKUP(B56,'员工计算'!$A$5:$H$16,8,FALSE)</x:f>
        <x:v>1</x:v>
      </x:c>
      <x:c r="L56" s="9" t="n">
        <x:f>J56*K56</x:f>
        <x:v>1</x:v>
      </x:c>
      <x:c r="M56" s="42" t="n">
        <x:f>VLOOKUP(G56,'制度参数'!$H$5:$I$7,2,FALSE)</x:f>
        <x:v>1.5</x:v>
      </x:c>
      <x:c r="N56" s="40" t="n">
        <x:f>VLOOKUP(F56,'制度参数'!$K$5:$L$7,2,FALSE)</x:f>
        <x:v>120</x:v>
      </x:c>
      <x:c r="O56" s="42" t="n">
        <x:f>IF(H56&lt;=N56,'制度参数'!$B$21,IF(H56&lt;=N56*'制度参数'!$B$24,'制度参数'!$B$22,'制度参数'!$B$23))</x:f>
        <x:v>0.8</x:v>
      </x:c>
      <x:c r="P56" s="32" t="n">
        <x:f>L56*M56*O56</x:f>
        <x:v>1.2000000000000002</x:v>
      </x:c>
      <x:c r="Q56" s="9" t="n">
        <x:f>L56*I56</x:f>
        <x:v>0</x:v>
      </x:c>
      <x:c r="R56" s="40" t="str">
        <x:f>IF(L56=1,"有效计件",IF(J56=1,"人员无计奖资格",IF(OR(C56&lt;'制度参数'!$B$13,C56&gt;'制度参数'!$B$14),"关闭日期不在本月",IF(D56&lt;&gt;"已关闭","非已关闭","复核非有效"))))</x:f>
        <x:v>有效计件</x:v>
      </x:c>
    </x:row>
    <x:row r="57" ht="24" customHeight="1">
      <x:c r="A57" s="1" t="str">
        <x:v>T105-005</x:v>
      </x:c>
      <x:c r="B57" s="1" t="str">
        <x:v>CS105</x:v>
      </x:c>
      <x:c r="C57" s="12" t="n">
        <x:v>46278</x:v>
      </x:c>
      <x:c r="D57" s="1" t="str">
        <x:v>已关闭</x:v>
      </x:c>
      <x:c r="E57" s="1" t="str">
        <x:v>有效</x:v>
      </x:c>
      <x:c r="F57" s="1" t="str">
        <x:v>技术</x:v>
      </x:c>
      <x:c r="G57" s="1" t="str">
        <x:v>普通</x:v>
      </x:c>
      <x:c r="H57" s="14" t="n">
        <x:v>482.4</x:v>
      </x:c>
      <x:c r="I57" s="1" t="n">
        <x:v>2</x:v>
      </x:c>
      <x:c r="J57" s="39" t="n">
        <x:f>IF(AND(C57&gt;='制度参数'!$B$13,C57&lt;='制度参数'!$B$14,D57="已关闭",E57="有效"),1,0)</x:f>
        <x:v>1</x:v>
      </x:c>
      <x:c r="K57" s="39" t="n">
        <x:f>VLOOKUP(B57,'员工计算'!$A$5:$H$16,8,FALSE)</x:f>
        <x:v>1</x:v>
      </x:c>
      <x:c r="L57" s="1" t="n">
        <x:f>J57*K57</x:f>
        <x:v>1</x:v>
      </x:c>
      <x:c r="M57" s="41" t="n">
        <x:f>VLOOKUP(G57,'制度参数'!$H$5:$I$7,2,FALSE)</x:f>
        <x:v>1</x:v>
      </x:c>
      <x:c r="N57" s="39" t="n">
        <x:f>VLOOKUP(F57,'制度参数'!$K$5:$L$7,2,FALSE)</x:f>
        <x:v>240</x:v>
      </x:c>
      <x:c r="O57" s="41" t="n">
        <x:f>IF(H57&lt;=N57,'制度参数'!$B$21,IF(H57&lt;=N57*'制度参数'!$B$24,'制度参数'!$B$22,'制度参数'!$B$23))</x:f>
        <x:v>0.5</x:v>
      </x:c>
      <x:c r="P57" s="31" t="n">
        <x:f>L57*M57*O57</x:f>
        <x:v>0.5</x:v>
      </x:c>
      <x:c r="Q57" s="1" t="n">
        <x:f>L57*I57</x:f>
        <x:v>2</x:v>
      </x:c>
      <x:c r="R57" s="39" t="str">
        <x:f>IF(L57=1,"有效计件",IF(J57=1,"人员无计奖资格",IF(OR(C57&lt;'制度参数'!$B$13,C57&gt;'制度参数'!$B$14),"关闭日期不在本月",IF(D57&lt;&gt;"已关闭","非已关闭","复核非有效"))))</x:f>
        <x:v>有效计件</x:v>
      </x:c>
    </x:row>
    <x:row r="58" ht="24" customHeight="1">
      <x:c r="A58" s="9" t="str">
        <x:v>T105-006</x:v>
      </x:c>
      <x:c r="B58" s="9" t="str">
        <x:v>CS105</x:v>
      </x:c>
      <x:c r="C58" s="13" t="n">
        <x:v>46280</x:v>
      </x:c>
      <x:c r="D58" s="9" t="str">
        <x:v>已关闭</x:v>
      </x:c>
      <x:c r="E58" s="9" t="str">
        <x:v>有效</x:v>
      </x:c>
      <x:c r="F58" s="9" t="str">
        <x:v>咨询</x:v>
      </x:c>
      <x:c r="G58" s="9" t="str">
        <x:v>紧急</x:v>
      </x:c>
      <x:c r="H58" s="15" t="n">
        <x:v>24</x:v>
      </x:c>
      <x:c r="I58" s="9" t="n">
        <x:v>0</x:v>
      </x:c>
      <x:c r="J58" s="40" t="n">
        <x:f>IF(AND(C58&gt;='制度参数'!$B$13,C58&lt;='制度参数'!$B$14,D58="已关闭",E58="有效"),1,0)</x:f>
        <x:v>1</x:v>
      </x:c>
      <x:c r="K58" s="40" t="n">
        <x:f>VLOOKUP(B58,'员工计算'!$A$5:$H$16,8,FALSE)</x:f>
        <x:v>1</x:v>
      </x:c>
      <x:c r="L58" s="9" t="n">
        <x:f>J58*K58</x:f>
        <x:v>1</x:v>
      </x:c>
      <x:c r="M58" s="42" t="n">
        <x:f>VLOOKUP(G58,'制度参数'!$H$5:$I$7,2,FALSE)</x:f>
        <x:v>2</x:v>
      </x:c>
      <x:c r="N58" s="40" t="n">
        <x:f>VLOOKUP(F58,'制度参数'!$K$5:$L$7,2,FALSE)</x:f>
        <x:v>30</x:v>
      </x:c>
      <x:c r="O58" s="42" t="n">
        <x:f>IF(H58&lt;=N58,'制度参数'!$B$21,IF(H58&lt;=N58*'制度参数'!$B$24,'制度参数'!$B$22,'制度参数'!$B$23))</x:f>
        <x:v>1.1</x:v>
      </x:c>
      <x:c r="P58" s="32" t="n">
        <x:f>L58*M58*O58</x:f>
        <x:v>2.2</x:v>
      </x:c>
      <x:c r="Q58" s="9" t="n">
        <x:f>L58*I58</x:f>
        <x:v>0</x:v>
      </x:c>
      <x:c r="R58" s="40" t="str">
        <x:f>IF(L58=1,"有效计件",IF(J58=1,"人员无计奖资格",IF(OR(C58&lt;'制度参数'!$B$13,C58&gt;'制度参数'!$B$14),"关闭日期不在本月",IF(D58&lt;&gt;"已关闭","非已关闭","复核非有效"))))</x:f>
        <x:v>有效计件</x:v>
      </x:c>
    </x:row>
    <x:row r="59" ht="24" customHeight="1">
      <x:c r="A59" s="1" t="str">
        <x:v>T105-007</x:v>
      </x:c>
      <x:c r="B59" s="1" t="str">
        <x:v>CS105</x:v>
      </x:c>
      <x:c r="C59" s="12" t="n">
        <x:v>46282</x:v>
      </x:c>
      <x:c r="D59" s="1" t="str">
        <x:v>已关闭</x:v>
      </x:c>
      <x:c r="E59" s="1" t="str">
        <x:v>有效</x:v>
      </x:c>
      <x:c r="F59" s="1" t="str">
        <x:v>投诉</x:v>
      </x:c>
      <x:c r="G59" s="1" t="str">
        <x:v>复杂</x:v>
      </x:c>
      <x:c r="H59" s="14" t="n">
        <x:v>180</x:v>
      </x:c>
      <x:c r="I59" s="1" t="n">
        <x:v>0</x:v>
      </x:c>
      <x:c r="J59" s="39" t="n">
        <x:f>IF(AND(C59&gt;='制度参数'!$B$13,C59&lt;='制度参数'!$B$14,D59="已关闭",E59="有效"),1,0)</x:f>
        <x:v>1</x:v>
      </x:c>
      <x:c r="K59" s="39" t="n">
        <x:f>VLOOKUP(B59,'员工计算'!$A$5:$H$16,8,FALSE)</x:f>
        <x:v>1</x:v>
      </x:c>
      <x:c r="L59" s="1" t="n">
        <x:f>J59*K59</x:f>
        <x:v>1</x:v>
      </x:c>
      <x:c r="M59" s="41" t="n">
        <x:f>VLOOKUP(G59,'制度参数'!$H$5:$I$7,2,FALSE)</x:f>
        <x:v>1.5</x:v>
      </x:c>
      <x:c r="N59" s="39" t="n">
        <x:f>VLOOKUP(F59,'制度参数'!$K$5:$L$7,2,FALSE)</x:f>
        <x:v>120</x:v>
      </x:c>
      <x:c r="O59" s="41" t="n">
        <x:f>IF(H59&lt;=N59,'制度参数'!$B$21,IF(H59&lt;=N59*'制度参数'!$B$24,'制度参数'!$B$22,'制度参数'!$B$23))</x:f>
        <x:v>0.8</x:v>
      </x:c>
      <x:c r="P59" s="31" t="n">
        <x:f>L59*M59*O59</x:f>
        <x:v>1.2000000000000002</x:v>
      </x:c>
      <x:c r="Q59" s="1" t="n">
        <x:f>L59*I59</x:f>
        <x:v>0</x:v>
      </x:c>
      <x:c r="R59" s="39" t="str">
        <x:f>IF(L59=1,"有效计件",IF(J59=1,"人员无计奖资格",IF(OR(C59&lt;'制度参数'!$B$13,C59&gt;'制度参数'!$B$14),"关闭日期不在本月",IF(D59&lt;&gt;"已关闭","非已关闭","复核非有效"))))</x:f>
        <x:v>有效计件</x:v>
      </x:c>
    </x:row>
    <x:row r="60" ht="24" customHeight="1">
      <x:c r="A60" s="9" t="str">
        <x:v>T105-008</x:v>
      </x:c>
      <x:c r="B60" s="9" t="str">
        <x:v>CS105</x:v>
      </x:c>
      <x:c r="C60" s="13" t="n">
        <x:v>46284</x:v>
      </x:c>
      <x:c r="D60" s="9" t="str">
        <x:v>已关闭</x:v>
      </x:c>
      <x:c r="E60" s="9" t="str">
        <x:v>有效</x:v>
      </x:c>
      <x:c r="F60" s="9" t="str">
        <x:v>技术</x:v>
      </x:c>
      <x:c r="G60" s="9" t="str">
        <x:v>普通</x:v>
      </x:c>
      <x:c r="H60" s="15" t="n">
        <x:v>720</x:v>
      </x:c>
      <x:c r="I60" s="9" t="n">
        <x:v>1</x:v>
      </x:c>
      <x:c r="J60" s="40" t="n">
        <x:f>IF(AND(C60&gt;='制度参数'!$B$13,C60&lt;='制度参数'!$B$14,D60="已关闭",E60="有效"),1,0)</x:f>
        <x:v>1</x:v>
      </x:c>
      <x:c r="K60" s="40" t="n">
        <x:f>VLOOKUP(B60,'员工计算'!$A$5:$H$16,8,FALSE)</x:f>
        <x:v>1</x:v>
      </x:c>
      <x:c r="L60" s="9" t="n">
        <x:f>J60*K60</x:f>
        <x:v>1</x:v>
      </x:c>
      <x:c r="M60" s="42" t="n">
        <x:f>VLOOKUP(G60,'制度参数'!$H$5:$I$7,2,FALSE)</x:f>
        <x:v>1</x:v>
      </x:c>
      <x:c r="N60" s="40" t="n">
        <x:f>VLOOKUP(F60,'制度参数'!$K$5:$L$7,2,FALSE)</x:f>
        <x:v>240</x:v>
      </x:c>
      <x:c r="O60" s="42" t="n">
        <x:f>IF(H60&lt;=N60,'制度参数'!$B$21,IF(H60&lt;=N60*'制度参数'!$B$24,'制度参数'!$B$22,'制度参数'!$B$23))</x:f>
        <x:v>0.5</x:v>
      </x:c>
      <x:c r="P60" s="32" t="n">
        <x:f>L60*M60*O60</x:f>
        <x:v>0.5</x:v>
      </x:c>
      <x:c r="Q60" s="9" t="n">
        <x:f>L60*I60</x:f>
        <x:v>1</x:v>
      </x:c>
      <x:c r="R60" s="40" t="str">
        <x:f>IF(L60=1,"有效计件",IF(J60=1,"人员无计奖资格",IF(OR(C60&lt;'制度参数'!$B$13,C60&gt;'制度参数'!$B$14),"关闭日期不在本月",IF(D60&lt;&gt;"已关闭","非已关闭","复核非有效"))))</x:f>
        <x:v>有效计件</x:v>
      </x:c>
    </x:row>
    <x:row r="61" ht="24" customHeight="1">
      <x:c r="A61" s="1" t="str">
        <x:v>T105-009</x:v>
      </x:c>
      <x:c r="B61" s="1" t="str">
        <x:v>CS105</x:v>
      </x:c>
      <x:c r="C61" s="12" t="n">
        <x:v>46286</x:v>
      </x:c>
      <x:c r="D61" s="1" t="str">
        <x:v>已关闭</x:v>
      </x:c>
      <x:c r="E61" s="1" t="str">
        <x:v>有效</x:v>
      </x:c>
      <x:c r="F61" s="1" t="str">
        <x:v>咨询</x:v>
      </x:c>
      <x:c r="G61" s="1" t="str">
        <x:v>紧急</x:v>
      </x:c>
      <x:c r="H61" s="14" t="n">
        <x:v>30</x:v>
      </x:c>
      <x:c r="I61" s="1" t="n">
        <x:v>0</x:v>
      </x:c>
      <x:c r="J61" s="39" t="n">
        <x:f>IF(AND(C61&gt;='制度参数'!$B$13,C61&lt;='制度参数'!$B$14,D61="已关闭",E61="有效"),1,0)</x:f>
        <x:v>1</x:v>
      </x:c>
      <x:c r="K61" s="39" t="n">
        <x:f>VLOOKUP(B61,'员工计算'!$A$5:$H$16,8,FALSE)</x:f>
        <x:v>1</x:v>
      </x:c>
      <x:c r="L61" s="1" t="n">
        <x:f>J61*K61</x:f>
        <x:v>1</x:v>
      </x:c>
      <x:c r="M61" s="41" t="n">
        <x:f>VLOOKUP(G61,'制度参数'!$H$5:$I$7,2,FALSE)</x:f>
        <x:v>2</x:v>
      </x:c>
      <x:c r="N61" s="39" t="n">
        <x:f>VLOOKUP(F61,'制度参数'!$K$5:$L$7,2,FALSE)</x:f>
        <x:v>30</x:v>
      </x:c>
      <x:c r="O61" s="41" t="n">
        <x:f>IF(H61&lt;=N61,'制度参数'!$B$21,IF(H61&lt;=N61*'制度参数'!$B$24,'制度参数'!$B$22,'制度参数'!$B$23))</x:f>
        <x:v>1.1</x:v>
      </x:c>
      <x:c r="P61" s="31" t="n">
        <x:f>L61*M61*O61</x:f>
        <x:v>2.2</x:v>
      </x:c>
      <x:c r="Q61" s="1" t="n">
        <x:f>L61*I61</x:f>
        <x:v>0</x:v>
      </x:c>
      <x:c r="R61" s="39" t="str">
        <x:f>IF(L61=1,"有效计件",IF(J61=1,"人员无计奖资格",IF(OR(C61&lt;'制度参数'!$B$13,C61&gt;'制度参数'!$B$14),"关闭日期不在本月",IF(D61&lt;&gt;"已关闭","非已关闭","复核非有效"))))</x:f>
        <x:v>有效计件</x:v>
      </x:c>
    </x:row>
    <x:row r="62" ht="24" customHeight="1">
      <x:c r="A62" s="9" t="str">
        <x:v>T105-010</x:v>
      </x:c>
      <x:c r="B62" s="9" t="str">
        <x:v>CS105</x:v>
      </x:c>
      <x:c r="C62" s="13" t="n">
        <x:v>46288</x:v>
      </x:c>
      <x:c r="D62" s="9" t="str">
        <x:v>已关闭</x:v>
      </x:c>
      <x:c r="E62" s="9" t="str">
        <x:v>有效</x:v>
      </x:c>
      <x:c r="F62" s="9" t="str">
        <x:v>投诉</x:v>
      </x:c>
      <x:c r="G62" s="9" t="str">
        <x:v>复杂</x:v>
      </x:c>
      <x:c r="H62" s="15" t="n">
        <x:v>240</x:v>
      </x:c>
      <x:c r="I62" s="9" t="n">
        <x:v>2</x:v>
      </x:c>
      <x:c r="J62" s="40" t="n">
        <x:f>IF(AND(C62&gt;='制度参数'!$B$13,C62&lt;='制度参数'!$B$14,D62="已关闭",E62="有效"),1,0)</x:f>
        <x:v>1</x:v>
      </x:c>
      <x:c r="K62" s="40" t="n">
        <x:f>VLOOKUP(B62,'员工计算'!$A$5:$H$16,8,FALSE)</x:f>
        <x:v>1</x:v>
      </x:c>
      <x:c r="L62" s="9" t="n">
        <x:f>J62*K62</x:f>
        <x:v>1</x:v>
      </x:c>
      <x:c r="M62" s="42" t="n">
        <x:f>VLOOKUP(G62,'制度参数'!$H$5:$I$7,2,FALSE)</x:f>
        <x:v>1.5</x:v>
      </x:c>
      <x:c r="N62" s="40" t="n">
        <x:f>VLOOKUP(F62,'制度参数'!$K$5:$L$7,2,FALSE)</x:f>
        <x:v>120</x:v>
      </x:c>
      <x:c r="O62" s="42" t="n">
        <x:f>IF(H62&lt;=N62,'制度参数'!$B$21,IF(H62&lt;=N62*'制度参数'!$B$24,'制度参数'!$B$22,'制度参数'!$B$23))</x:f>
        <x:v>0.8</x:v>
      </x:c>
      <x:c r="P62" s="32" t="n">
        <x:f>L62*M62*O62</x:f>
        <x:v>1.2000000000000002</x:v>
      </x:c>
      <x:c r="Q62" s="9" t="n">
        <x:f>L62*I62</x:f>
        <x:v>2</x:v>
      </x:c>
      <x:c r="R62" s="40" t="str">
        <x:f>IF(L62=1,"有效计件",IF(J62=1,"人员无计奖资格",IF(OR(C62&lt;'制度参数'!$B$13,C62&gt;'制度参数'!$B$14),"关闭日期不在本月",IF(D62&lt;&gt;"已关闭","非已关闭","复核非有效"))))</x:f>
        <x:v>有效计件</x:v>
      </x:c>
    </x:row>
    <x:row r="63" ht="24" customHeight="1">
      <x:c r="A63" s="1" t="str">
        <x:v>T105-011</x:v>
      </x:c>
      <x:c r="B63" s="1" t="str">
        <x:v>CS105</x:v>
      </x:c>
      <x:c r="C63" s="12" t="n">
        <x:v>46290</x:v>
      </x:c>
      <x:c r="D63" s="1" t="str">
        <x:v>处理中</x:v>
      </x:c>
      <x:c r="E63" s="1" t="str">
        <x:v>有效</x:v>
      </x:c>
      <x:c r="F63" s="1" t="str">
        <x:v>技术</x:v>
      </x:c>
      <x:c r="G63" s="1" t="str">
        <x:v>普通</x:v>
      </x:c>
      <x:c r="H63" s="14" t="n">
        <x:v>482.4</x:v>
      </x:c>
      <x:c r="I63" s="1" t="n">
        <x:v>0</x:v>
      </x:c>
      <x:c r="J63" s="39" t="n">
        <x:f>IF(AND(C63&gt;='制度参数'!$B$13,C63&lt;='制度参数'!$B$14,D63="已关闭",E63="有效"),1,0)</x:f>
        <x:v>0</x:v>
      </x:c>
      <x:c r="K63" s="39" t="n">
        <x:f>VLOOKUP(B63,'员工计算'!$A$5:$H$16,8,FALSE)</x:f>
        <x:v>1</x:v>
      </x:c>
      <x:c r="L63" s="1" t="n">
        <x:f>J63*K63</x:f>
        <x:v>0</x:v>
      </x:c>
      <x:c r="M63" s="41" t="n">
        <x:f>VLOOKUP(G63,'制度参数'!$H$5:$I$7,2,FALSE)</x:f>
        <x:v>1</x:v>
      </x:c>
      <x:c r="N63" s="39" t="n">
        <x:f>VLOOKUP(F63,'制度参数'!$K$5:$L$7,2,FALSE)</x:f>
        <x:v>240</x:v>
      </x:c>
      <x:c r="O63" s="41" t="n">
        <x:f>IF(H63&lt;=N63,'制度参数'!$B$21,IF(H63&lt;=N63*'制度参数'!$B$24,'制度参数'!$B$22,'制度参数'!$B$23))</x:f>
        <x:v>0.5</x:v>
      </x:c>
      <x:c r="P63" s="31" t="n">
        <x:f>L63*M63*O63</x:f>
        <x:v>0</x:v>
      </x:c>
      <x:c r="Q63" s="1" t="n">
        <x:f>L63*I63</x:f>
        <x:v>0</x:v>
      </x:c>
      <x:c r="R63" s="39" t="str">
        <x:f>IF(L63=1,"有效计件",IF(J63=1,"人员无计奖资格",IF(OR(C63&lt;'制度参数'!$B$13,C63&gt;'制度参数'!$B$14),"关闭日期不在本月",IF(D63&lt;&gt;"已关闭","非已关闭","复核非有效"))))</x:f>
        <x:v>非已关闭</x:v>
      </x:c>
    </x:row>
    <x:row r="64" ht="24" customHeight="1">
      <x:c r="A64" s="9" t="str">
        <x:v>T105-012</x:v>
      </x:c>
      <x:c r="B64" s="9" t="str">
        <x:v>CS105</x:v>
      </x:c>
      <x:c r="C64" s="13" t="n">
        <x:v>46292</x:v>
      </x:c>
      <x:c r="D64" s="9" t="str">
        <x:v>已作废</x:v>
      </x:c>
      <x:c r="E64" s="9" t="str">
        <x:v>有效</x:v>
      </x:c>
      <x:c r="F64" s="9" t="str">
        <x:v>咨询</x:v>
      </x:c>
      <x:c r="G64" s="9" t="str">
        <x:v>紧急</x:v>
      </x:c>
      <x:c r="H64" s="15" t="n">
        <x:v>24</x:v>
      </x:c>
      <x:c r="I64" s="9" t="n">
        <x:v>0</x:v>
      </x:c>
      <x:c r="J64" s="40" t="n">
        <x:f>IF(AND(C64&gt;='制度参数'!$B$13,C64&lt;='制度参数'!$B$14,D64="已关闭",E64="有效"),1,0)</x:f>
        <x:v>0</x:v>
      </x:c>
      <x:c r="K64" s="40" t="n">
        <x:f>VLOOKUP(B64,'员工计算'!$A$5:$H$16,8,FALSE)</x:f>
        <x:v>1</x:v>
      </x:c>
      <x:c r="L64" s="9" t="n">
        <x:f>J64*K64</x:f>
        <x:v>0</x:v>
      </x:c>
      <x:c r="M64" s="42" t="n">
        <x:f>VLOOKUP(G64,'制度参数'!$H$5:$I$7,2,FALSE)</x:f>
        <x:v>2</x:v>
      </x:c>
      <x:c r="N64" s="40" t="n">
        <x:f>VLOOKUP(F64,'制度参数'!$K$5:$L$7,2,FALSE)</x:f>
        <x:v>30</x:v>
      </x:c>
      <x:c r="O64" s="42" t="n">
        <x:f>IF(H64&lt;=N64,'制度参数'!$B$21,IF(H64&lt;=N64*'制度参数'!$B$24,'制度参数'!$B$22,'制度参数'!$B$23))</x:f>
        <x:v>1.1</x:v>
      </x:c>
      <x:c r="P64" s="32" t="n">
        <x:f>L64*M64*O64</x:f>
        <x:v>0</x:v>
      </x:c>
      <x:c r="Q64" s="9" t="n">
        <x:f>L64*I64</x:f>
        <x:v>0</x:v>
      </x:c>
      <x:c r="R64" s="40" t="str">
        <x:f>IF(L64=1,"有效计件",IF(J64=1,"人员无计奖资格",IF(OR(C64&lt;'制度参数'!$B$13,C64&gt;'制度参数'!$B$14),"关闭日期不在本月",IF(D64&lt;&gt;"已关闭","非已关闭","复核非有效"))))</x:f>
        <x:v>非已关闭</x:v>
      </x:c>
    </x:row>
    <x:row r="65" ht="24" customHeight="1">
      <x:c r="A65" s="1" t="str">
        <x:v>T105-013</x:v>
      </x:c>
      <x:c r="B65" s="1" t="str">
        <x:v>CS105</x:v>
      </x:c>
      <x:c r="C65" s="12" t="n">
        <x:v>46265</x:v>
      </x:c>
      <x:c r="D65" s="1" t="str">
        <x:v>已关闭</x:v>
      </x:c>
      <x:c r="E65" s="1" t="str">
        <x:v>有效</x:v>
      </x:c>
      <x:c r="F65" s="1" t="str">
        <x:v>投诉</x:v>
      </x:c>
      <x:c r="G65" s="1" t="str">
        <x:v>复杂</x:v>
      </x:c>
      <x:c r="H65" s="14" t="n">
        <x:v>180</x:v>
      </x:c>
      <x:c r="I65" s="1" t="n">
        <x:v>1</x:v>
      </x:c>
      <x:c r="J65" s="39" t="n">
        <x:f>IF(AND(C65&gt;='制度参数'!$B$13,C65&lt;='制度参数'!$B$14,D65="已关闭",E65="有效"),1,0)</x:f>
        <x:v>0</x:v>
      </x:c>
      <x:c r="K65" s="39" t="n">
        <x:f>VLOOKUP(B65,'员工计算'!$A$5:$H$16,8,FALSE)</x:f>
        <x:v>1</x:v>
      </x:c>
      <x:c r="L65" s="1" t="n">
        <x:f>J65*K65</x:f>
        <x:v>0</x:v>
      </x:c>
      <x:c r="M65" s="41" t="n">
        <x:f>VLOOKUP(G65,'制度参数'!$H$5:$I$7,2,FALSE)</x:f>
        <x:v>1.5</x:v>
      </x:c>
      <x:c r="N65" s="39" t="n">
        <x:f>VLOOKUP(F65,'制度参数'!$K$5:$L$7,2,FALSE)</x:f>
        <x:v>120</x:v>
      </x:c>
      <x:c r="O65" s="41" t="n">
        <x:f>IF(H65&lt;=N65,'制度参数'!$B$21,IF(H65&lt;=N65*'制度参数'!$B$24,'制度参数'!$B$22,'制度参数'!$B$23))</x:f>
        <x:v>0.8</x:v>
      </x:c>
      <x:c r="P65" s="31" t="n">
        <x:f>L65*M65*O65</x:f>
        <x:v>0</x:v>
      </x:c>
      <x:c r="Q65" s="1" t="n">
        <x:f>L65*I65</x:f>
        <x:v>0</x:v>
      </x:c>
      <x:c r="R65" s="39" t="str">
        <x:f>IF(L65=1,"有效计件",IF(J65=1,"人员无计奖资格",IF(OR(C65&lt;'制度参数'!$B$13,C65&gt;'制度参数'!$B$14),"关闭日期不在本月",IF(D65&lt;&gt;"已关闭","非已关闭","复核非有效"))))</x:f>
        <x:v>关闭日期不在本月</x:v>
      </x:c>
    </x:row>
    <x:row r="66" ht="24" customHeight="1">
      <x:c r="A66" s="9" t="str">
        <x:v>T105-014</x:v>
      </x:c>
      <x:c r="B66" s="9" t="str">
        <x:v>CS105</x:v>
      </x:c>
      <x:c r="C66" s="13" t="n">
        <x:v>46296</x:v>
      </x:c>
      <x:c r="D66" s="9" t="str">
        <x:v>已关闭</x:v>
      </x:c>
      <x:c r="E66" s="9" t="str">
        <x:v>有效</x:v>
      </x:c>
      <x:c r="F66" s="9" t="str">
        <x:v>技术</x:v>
      </x:c>
      <x:c r="G66" s="9" t="str">
        <x:v>普通</x:v>
      </x:c>
      <x:c r="H66" s="15" t="n">
        <x:v>720</x:v>
      </x:c>
      <x:c r="I66" s="9" t="n">
        <x:v>0</x:v>
      </x:c>
      <x:c r="J66" s="40" t="n">
        <x:f>IF(AND(C66&gt;='制度参数'!$B$13,C66&lt;='制度参数'!$B$14,D66="已关闭",E66="有效"),1,0)</x:f>
        <x:v>0</x:v>
      </x:c>
      <x:c r="K66" s="40" t="n">
        <x:f>VLOOKUP(B66,'员工计算'!$A$5:$H$16,8,FALSE)</x:f>
        <x:v>1</x:v>
      </x:c>
      <x:c r="L66" s="9" t="n">
        <x:f>J66*K66</x:f>
        <x:v>0</x:v>
      </x:c>
      <x:c r="M66" s="42" t="n">
        <x:f>VLOOKUP(G66,'制度参数'!$H$5:$I$7,2,FALSE)</x:f>
        <x:v>1</x:v>
      </x:c>
      <x:c r="N66" s="40" t="n">
        <x:f>VLOOKUP(F66,'制度参数'!$K$5:$L$7,2,FALSE)</x:f>
        <x:v>240</x:v>
      </x:c>
      <x:c r="O66" s="42" t="n">
        <x:f>IF(H66&lt;=N66,'制度参数'!$B$21,IF(H66&lt;=N66*'制度参数'!$B$24,'制度参数'!$B$22,'制度参数'!$B$23))</x:f>
        <x:v>0.5</x:v>
      </x:c>
      <x:c r="P66" s="32" t="n">
        <x:f>L66*M66*O66</x:f>
        <x:v>0</x:v>
      </x:c>
      <x:c r="Q66" s="9" t="n">
        <x:f>L66*I66</x:f>
        <x:v>0</x:v>
      </x:c>
      <x:c r="R66" s="40" t="str">
        <x:f>IF(L66=1,"有效计件",IF(J66=1,"人员无计奖资格",IF(OR(C66&lt;'制度参数'!$B$13,C66&gt;'制度参数'!$B$14),"关闭日期不在本月",IF(D66&lt;&gt;"已关闭","非已关闭","复核非有效"))))</x:f>
        <x:v>关闭日期不在本月</x:v>
      </x:c>
    </x:row>
    <x:row r="67" ht="24" customHeight="1">
      <x:c r="A67" s="1" t="str">
        <x:v>T105-015</x:v>
      </x:c>
      <x:c r="B67" s="1" t="str">
        <x:v>CS105</x:v>
      </x:c>
      <x:c r="C67" s="12" t="n">
        <x:v>46268</x:v>
      </x:c>
      <x:c r="D67" s="1" t="str">
        <x:v>已关闭</x:v>
      </x:c>
      <x:c r="E67" s="1" t="str">
        <x:v>待确认</x:v>
      </x:c>
      <x:c r="F67" s="1" t="str">
        <x:v>咨询</x:v>
      </x:c>
      <x:c r="G67" s="1" t="str">
        <x:v>紧急</x:v>
      </x:c>
      <x:c r="H67" s="14" t="n">
        <x:v>30</x:v>
      </x:c>
      <x:c r="I67" s="1" t="n">
        <x:v>2</x:v>
      </x:c>
      <x:c r="J67" s="39" t="n">
        <x:f>IF(AND(C67&gt;='制度参数'!$B$13,C67&lt;='制度参数'!$B$14,D67="已关闭",E67="有效"),1,0)</x:f>
        <x:v>0</x:v>
      </x:c>
      <x:c r="K67" s="39" t="n">
        <x:f>VLOOKUP(B67,'员工计算'!$A$5:$H$16,8,FALSE)</x:f>
        <x:v>1</x:v>
      </x:c>
      <x:c r="L67" s="1" t="n">
        <x:f>J67*K67</x:f>
        <x:v>0</x:v>
      </x:c>
      <x:c r="M67" s="41" t="n">
        <x:f>VLOOKUP(G67,'制度参数'!$H$5:$I$7,2,FALSE)</x:f>
        <x:v>2</x:v>
      </x:c>
      <x:c r="N67" s="39" t="n">
        <x:f>VLOOKUP(F67,'制度参数'!$K$5:$L$7,2,FALSE)</x:f>
        <x:v>30</x:v>
      </x:c>
      <x:c r="O67" s="41" t="n">
        <x:f>IF(H67&lt;=N67,'制度参数'!$B$21,IF(H67&lt;=N67*'制度参数'!$B$24,'制度参数'!$B$22,'制度参数'!$B$23))</x:f>
        <x:v>1.1</x:v>
      </x:c>
      <x:c r="P67" s="31" t="n">
        <x:f>L67*M67*O67</x:f>
        <x:v>0</x:v>
      </x:c>
      <x:c r="Q67" s="1" t="n">
        <x:f>L67*I67</x:f>
        <x:v>0</x:v>
      </x:c>
      <x:c r="R67" s="39" t="str">
        <x:f>IF(L67=1,"有效计件",IF(J67=1,"人员无计奖资格",IF(OR(C67&lt;'制度参数'!$B$13,C67&gt;'制度参数'!$B$14),"关闭日期不在本月",IF(D67&lt;&gt;"已关闭","非已关闭","复核非有效"))))</x:f>
        <x:v>复核非有效</x:v>
      </x:c>
    </x:row>
    <x:row r="68" ht="24" customHeight="1">
      <x:c r="A68" s="9" t="str">
        <x:v>T105-016</x:v>
      </x:c>
      <x:c r="B68" s="9" t="str">
        <x:v>CS105</x:v>
      </x:c>
      <x:c r="C68" s="13" t="n">
        <x:v>46270</x:v>
      </x:c>
      <x:c r="D68" s="9" t="str">
        <x:v>已关闭</x:v>
      </x:c>
      <x:c r="E68" s="9" t="str">
        <x:v>无效</x:v>
      </x:c>
      <x:c r="F68" s="9" t="str">
        <x:v>投诉</x:v>
      </x:c>
      <x:c r="G68" s="9" t="str">
        <x:v>复杂</x:v>
      </x:c>
      <x:c r="H68" s="15" t="n">
        <x:v>240</x:v>
      </x:c>
      <x:c r="I68" s="9" t="n">
        <x:v>0</x:v>
      </x:c>
      <x:c r="J68" s="40" t="n">
        <x:f>IF(AND(C68&gt;='制度参数'!$B$13,C68&lt;='制度参数'!$B$14,D68="已关闭",E68="有效"),1,0)</x:f>
        <x:v>0</x:v>
      </x:c>
      <x:c r="K68" s="40" t="n">
        <x:f>VLOOKUP(B68,'员工计算'!$A$5:$H$16,8,FALSE)</x:f>
        <x:v>1</x:v>
      </x:c>
      <x:c r="L68" s="9" t="n">
        <x:f>J68*K68</x:f>
        <x:v>0</x:v>
      </x:c>
      <x:c r="M68" s="42" t="n">
        <x:f>VLOOKUP(G68,'制度参数'!$H$5:$I$7,2,FALSE)</x:f>
        <x:v>1.5</x:v>
      </x:c>
      <x:c r="N68" s="40" t="n">
        <x:f>VLOOKUP(F68,'制度参数'!$K$5:$L$7,2,FALSE)</x:f>
        <x:v>120</x:v>
      </x:c>
      <x:c r="O68" s="42" t="n">
        <x:f>IF(H68&lt;=N68,'制度参数'!$B$21,IF(H68&lt;=N68*'制度参数'!$B$24,'制度参数'!$B$22,'制度参数'!$B$23))</x:f>
        <x:v>0.8</x:v>
      </x:c>
      <x:c r="P68" s="32" t="n">
        <x:f>L68*M68*O68</x:f>
        <x:v>0</x:v>
      </x:c>
      <x:c r="Q68" s="9" t="n">
        <x:f>L68*I68</x:f>
        <x:v>0</x:v>
      </x:c>
      <x:c r="R68" s="40" t="str">
        <x:f>IF(L68=1,"有效计件",IF(J68=1,"人员无计奖资格",IF(OR(C68&lt;'制度参数'!$B$13,C68&gt;'制度参数'!$B$14),"关闭日期不在本月",IF(D68&lt;&gt;"已关闭","非已关闭","复核非有效"))))</x:f>
        <x:v>复核非有效</x:v>
      </x:c>
    </x:row>
    <x:row r="69" ht="24" customHeight="1">
      <x:c r="A69" s="1" t="str">
        <x:v>T106-001</x:v>
      </x:c>
      <x:c r="B69" s="1" t="str">
        <x:v>CS106</x:v>
      </x:c>
      <x:c r="C69" s="12" t="n">
        <x:v>46271</x:v>
      </x:c>
      <x:c r="D69" s="1" t="str">
        <x:v>已关闭</x:v>
      </x:c>
      <x:c r="E69" s="1" t="str">
        <x:v>有效</x:v>
      </x:c>
      <x:c r="F69" s="1" t="str">
        <x:v>技术</x:v>
      </x:c>
      <x:c r="G69" s="1" t="str">
        <x:v>紧急</x:v>
      </x:c>
      <x:c r="H69" s="14" t="n">
        <x:v>720</x:v>
      </x:c>
      <x:c r="I69" s="1" t="n">
        <x:v>0</x:v>
      </x:c>
      <x:c r="J69" s="39" t="n">
        <x:f>IF(AND(C69&gt;='制度参数'!$B$13,C69&lt;='制度参数'!$B$14,D69="已关闭",E69="有效"),1,0)</x:f>
        <x:v>1</x:v>
      </x:c>
      <x:c r="K69" s="39" t="n">
        <x:f>VLOOKUP(B69,'员工计算'!$A$5:$H$16,8,FALSE)</x:f>
        <x:v>0</x:v>
      </x:c>
      <x:c r="L69" s="1" t="n">
        <x:f>J69*K69</x:f>
        <x:v>0</x:v>
      </x:c>
      <x:c r="M69" s="41" t="n">
        <x:f>VLOOKUP(G69,'制度参数'!$H$5:$I$7,2,FALSE)</x:f>
        <x:v>2</x:v>
      </x:c>
      <x:c r="N69" s="39" t="n">
        <x:f>VLOOKUP(F69,'制度参数'!$K$5:$L$7,2,FALSE)</x:f>
        <x:v>240</x:v>
      </x:c>
      <x:c r="O69" s="41" t="n">
        <x:f>IF(H69&lt;=N69,'制度参数'!$B$21,IF(H69&lt;=N69*'制度参数'!$B$24,'制度参数'!$B$22,'制度参数'!$B$23))</x:f>
        <x:v>0.5</x:v>
      </x:c>
      <x:c r="P69" s="31" t="n">
        <x:f>L69*M69*O69</x:f>
        <x:v>0</x:v>
      </x:c>
      <x:c r="Q69" s="1" t="n">
        <x:f>L69*I69</x:f>
        <x:v>0</x:v>
      </x:c>
      <x:c r="R69" s="39" t="str">
        <x:f>IF(L69=1,"有效计件",IF(J69=1,"人员无计奖资格",IF(OR(C69&lt;'制度参数'!$B$13,C69&gt;'制度参数'!$B$14),"关闭日期不在本月",IF(D69&lt;&gt;"已关闭","非已关闭","复核非有效"))))</x:f>
        <x:v>人员无计奖资格</x:v>
      </x:c>
    </x:row>
    <x:row r="70" ht="24" customHeight="1">
      <x:c r="A70" s="9" t="str">
        <x:v>T106-002</x:v>
      </x:c>
      <x:c r="B70" s="9" t="str">
        <x:v>CS106</x:v>
      </x:c>
      <x:c r="C70" s="13" t="n">
        <x:v>46273</x:v>
      </x:c>
      <x:c r="D70" s="9" t="str">
        <x:v>已关闭</x:v>
      </x:c>
      <x:c r="E70" s="9" t="str">
        <x:v>有效</x:v>
      </x:c>
      <x:c r="F70" s="9" t="str">
        <x:v>咨询</x:v>
      </x:c>
      <x:c r="G70" s="9" t="str">
        <x:v>复杂</x:v>
      </x:c>
      <x:c r="H70" s="15" t="n">
        <x:v>30</x:v>
      </x:c>
      <x:c r="I70" s="9" t="n">
        <x:v>1</x:v>
      </x:c>
      <x:c r="J70" s="40" t="n">
        <x:f>IF(AND(C70&gt;='制度参数'!$B$13,C70&lt;='制度参数'!$B$14,D70="已关闭",E70="有效"),1,0)</x:f>
        <x:v>1</x:v>
      </x:c>
      <x:c r="K70" s="40" t="n">
        <x:f>VLOOKUP(B70,'员工计算'!$A$5:$H$16,8,FALSE)</x:f>
        <x:v>0</x:v>
      </x:c>
      <x:c r="L70" s="9" t="n">
        <x:f>J70*K70</x:f>
        <x:v>0</x:v>
      </x:c>
      <x:c r="M70" s="42" t="n">
        <x:f>VLOOKUP(G70,'制度参数'!$H$5:$I$7,2,FALSE)</x:f>
        <x:v>1.5</x:v>
      </x:c>
      <x:c r="N70" s="40" t="n">
        <x:f>VLOOKUP(F70,'制度参数'!$K$5:$L$7,2,FALSE)</x:f>
        <x:v>30</x:v>
      </x:c>
      <x:c r="O70" s="42" t="n">
        <x:f>IF(H70&lt;=N70,'制度参数'!$B$21,IF(H70&lt;=N70*'制度参数'!$B$24,'制度参数'!$B$22,'制度参数'!$B$23))</x:f>
        <x:v>1.1</x:v>
      </x:c>
      <x:c r="P70" s="32" t="n">
        <x:f>L70*M70*O70</x:f>
        <x:v>0</x:v>
      </x:c>
      <x:c r="Q70" s="9" t="n">
        <x:f>L70*I70</x:f>
        <x:v>0</x:v>
      </x:c>
      <x:c r="R70" s="40" t="str">
        <x:f>IF(L70=1,"有效计件",IF(J70=1,"人员无计奖资格",IF(OR(C70&lt;'制度参数'!$B$13,C70&gt;'制度参数'!$B$14),"关闭日期不在本月",IF(D70&lt;&gt;"已关闭","非已关闭","复核非有效"))))</x:f>
        <x:v>人员无计奖资格</x:v>
      </x:c>
    </x:row>
    <x:row r="71" ht="24" customHeight="1">
      <x:c r="A71" s="1" t="str">
        <x:v>T106-003</x:v>
      </x:c>
      <x:c r="B71" s="1" t="str">
        <x:v>CS106</x:v>
      </x:c>
      <x:c r="C71" s="12" t="n">
        <x:v>46275</x:v>
      </x:c>
      <x:c r="D71" s="1" t="str">
        <x:v>已关闭</x:v>
      </x:c>
      <x:c r="E71" s="1" t="str">
        <x:v>有效</x:v>
      </x:c>
      <x:c r="F71" s="1" t="str">
        <x:v>投诉</x:v>
      </x:c>
      <x:c r="G71" s="1" t="str">
        <x:v>普通</x:v>
      </x:c>
      <x:c r="H71" s="14" t="n">
        <x:v>240</x:v>
      </x:c>
      <x:c r="I71" s="1" t="n">
        <x:v>0</x:v>
      </x:c>
      <x:c r="J71" s="39" t="n">
        <x:f>IF(AND(C71&gt;='制度参数'!$B$13,C71&lt;='制度参数'!$B$14,D71="已关闭",E71="有效"),1,0)</x:f>
        <x:v>1</x:v>
      </x:c>
      <x:c r="K71" s="39" t="n">
        <x:f>VLOOKUP(B71,'员工计算'!$A$5:$H$16,8,FALSE)</x:f>
        <x:v>0</x:v>
      </x:c>
      <x:c r="L71" s="1" t="n">
        <x:f>J71*K71</x:f>
        <x:v>0</x:v>
      </x:c>
      <x:c r="M71" s="41" t="n">
        <x:f>VLOOKUP(G71,'制度参数'!$H$5:$I$7,2,FALSE)</x:f>
        <x:v>1</x:v>
      </x:c>
      <x:c r="N71" s="39" t="n">
        <x:f>VLOOKUP(F71,'制度参数'!$K$5:$L$7,2,FALSE)</x:f>
        <x:v>120</x:v>
      </x:c>
      <x:c r="O71" s="41" t="n">
        <x:f>IF(H71&lt;=N71,'制度参数'!$B$21,IF(H71&lt;=N71*'制度参数'!$B$24,'制度参数'!$B$22,'制度参数'!$B$23))</x:f>
        <x:v>0.8</x:v>
      </x:c>
      <x:c r="P71" s="31" t="n">
        <x:f>L71*M71*O71</x:f>
        <x:v>0</x:v>
      </x:c>
      <x:c r="Q71" s="1" t="n">
        <x:f>L71*I71</x:f>
        <x:v>0</x:v>
      </x:c>
      <x:c r="R71" s="39" t="str">
        <x:f>IF(L71=1,"有效计件",IF(J71=1,"人员无计奖资格",IF(OR(C71&lt;'制度参数'!$B$13,C71&gt;'制度参数'!$B$14),"关闭日期不在本月",IF(D71&lt;&gt;"已关闭","非已关闭","复核非有效"))))</x:f>
        <x:v>人员无计奖资格</x:v>
      </x:c>
    </x:row>
    <x:row r="72" ht="24" customHeight="1">
      <x:c r="A72" s="9" t="str">
        <x:v>T106-004</x:v>
      </x:c>
      <x:c r="B72" s="9" t="str">
        <x:v>CS106</x:v>
      </x:c>
      <x:c r="C72" s="13" t="n">
        <x:v>46277</x:v>
      </x:c>
      <x:c r="D72" s="9" t="str">
        <x:v>已关闭</x:v>
      </x:c>
      <x:c r="E72" s="9" t="str">
        <x:v>有效</x:v>
      </x:c>
      <x:c r="F72" s="9" t="str">
        <x:v>技术</x:v>
      </x:c>
      <x:c r="G72" s="9" t="str">
        <x:v>紧急</x:v>
      </x:c>
      <x:c r="H72" s="15" t="n">
        <x:v>482.4</x:v>
      </x:c>
      <x:c r="I72" s="9" t="n">
        <x:v>2</x:v>
      </x:c>
      <x:c r="J72" s="40" t="n">
        <x:f>IF(AND(C72&gt;='制度参数'!$B$13,C72&lt;='制度参数'!$B$14,D72="已关闭",E72="有效"),1,0)</x:f>
        <x:v>1</x:v>
      </x:c>
      <x:c r="K72" s="40" t="n">
        <x:f>VLOOKUP(B72,'员工计算'!$A$5:$H$16,8,FALSE)</x:f>
        <x:v>0</x:v>
      </x:c>
      <x:c r="L72" s="9" t="n">
        <x:f>J72*K72</x:f>
        <x:v>0</x:v>
      </x:c>
      <x:c r="M72" s="42" t="n">
        <x:f>VLOOKUP(G72,'制度参数'!$H$5:$I$7,2,FALSE)</x:f>
        <x:v>2</x:v>
      </x:c>
      <x:c r="N72" s="40" t="n">
        <x:f>VLOOKUP(F72,'制度参数'!$K$5:$L$7,2,FALSE)</x:f>
        <x:v>240</x:v>
      </x:c>
      <x:c r="O72" s="42" t="n">
        <x:f>IF(H72&lt;=N72,'制度参数'!$B$21,IF(H72&lt;=N72*'制度参数'!$B$24,'制度参数'!$B$22,'制度参数'!$B$23))</x:f>
        <x:v>0.5</x:v>
      </x:c>
      <x:c r="P72" s="32" t="n">
        <x:f>L72*M72*O72</x:f>
        <x:v>0</x:v>
      </x:c>
      <x:c r="Q72" s="9" t="n">
        <x:f>L72*I72</x:f>
        <x:v>0</x:v>
      </x:c>
      <x:c r="R72" s="40" t="str">
        <x:f>IF(L72=1,"有效计件",IF(J72=1,"人员无计奖资格",IF(OR(C72&lt;'制度参数'!$B$13,C72&gt;'制度参数'!$B$14),"关闭日期不在本月",IF(D72&lt;&gt;"已关闭","非已关闭","复核非有效"))))</x:f>
        <x:v>人员无计奖资格</x:v>
      </x:c>
    </x:row>
    <x:row r="73" ht="24" customHeight="1">
      <x:c r="A73" s="1" t="str">
        <x:v>T106-005</x:v>
      </x:c>
      <x:c r="B73" s="1" t="str">
        <x:v>CS106</x:v>
      </x:c>
      <x:c r="C73" s="12" t="n">
        <x:v>46279</x:v>
      </x:c>
      <x:c r="D73" s="1" t="str">
        <x:v>已关闭</x:v>
      </x:c>
      <x:c r="E73" s="1" t="str">
        <x:v>有效</x:v>
      </x:c>
      <x:c r="F73" s="1" t="str">
        <x:v>咨询</x:v>
      </x:c>
      <x:c r="G73" s="1" t="str">
        <x:v>复杂</x:v>
      </x:c>
      <x:c r="H73" s="14" t="n">
        <x:v>24</x:v>
      </x:c>
      <x:c r="I73" s="1" t="n">
        <x:v>0</x:v>
      </x:c>
      <x:c r="J73" s="39" t="n">
        <x:f>IF(AND(C73&gt;='制度参数'!$B$13,C73&lt;='制度参数'!$B$14,D73="已关闭",E73="有效"),1,0)</x:f>
        <x:v>1</x:v>
      </x:c>
      <x:c r="K73" s="39" t="n">
        <x:f>VLOOKUP(B73,'员工计算'!$A$5:$H$16,8,FALSE)</x:f>
        <x:v>0</x:v>
      </x:c>
      <x:c r="L73" s="1" t="n">
        <x:f>J73*K73</x:f>
        <x:v>0</x:v>
      </x:c>
      <x:c r="M73" s="41" t="n">
        <x:f>VLOOKUP(G73,'制度参数'!$H$5:$I$7,2,FALSE)</x:f>
        <x:v>1.5</x:v>
      </x:c>
      <x:c r="N73" s="39" t="n">
        <x:f>VLOOKUP(F73,'制度参数'!$K$5:$L$7,2,FALSE)</x:f>
        <x:v>30</x:v>
      </x:c>
      <x:c r="O73" s="41" t="n">
        <x:f>IF(H73&lt;=N73,'制度参数'!$B$21,IF(H73&lt;=N73*'制度参数'!$B$24,'制度参数'!$B$22,'制度参数'!$B$23))</x:f>
        <x:v>1.1</x:v>
      </x:c>
      <x:c r="P73" s="31" t="n">
        <x:f>L73*M73*O73</x:f>
        <x:v>0</x:v>
      </x:c>
      <x:c r="Q73" s="1" t="n">
        <x:f>L73*I73</x:f>
        <x:v>0</x:v>
      </x:c>
      <x:c r="R73" s="39" t="str">
        <x:f>IF(L73=1,"有效计件",IF(J73=1,"人员无计奖资格",IF(OR(C73&lt;'制度参数'!$B$13,C73&gt;'制度参数'!$B$14),"关闭日期不在本月",IF(D73&lt;&gt;"已关闭","非已关闭","复核非有效"))))</x:f>
        <x:v>人员无计奖资格</x:v>
      </x:c>
    </x:row>
    <x:row r="74" ht="24" customHeight="1">
      <x:c r="A74" s="9" t="str">
        <x:v>T106-006</x:v>
      </x:c>
      <x:c r="B74" s="9" t="str">
        <x:v>CS106</x:v>
      </x:c>
      <x:c r="C74" s="13" t="n">
        <x:v>46281</x:v>
      </x:c>
      <x:c r="D74" s="9" t="str">
        <x:v>已关闭</x:v>
      </x:c>
      <x:c r="E74" s="9" t="str">
        <x:v>有效</x:v>
      </x:c>
      <x:c r="F74" s="9" t="str">
        <x:v>投诉</x:v>
      </x:c>
      <x:c r="G74" s="9" t="str">
        <x:v>普通</x:v>
      </x:c>
      <x:c r="H74" s="15" t="n">
        <x:v>180</x:v>
      </x:c>
      <x:c r="I74" s="9" t="n">
        <x:v>0</x:v>
      </x:c>
      <x:c r="J74" s="40" t="n">
        <x:f>IF(AND(C74&gt;='制度参数'!$B$13,C74&lt;='制度参数'!$B$14,D74="已关闭",E74="有效"),1,0)</x:f>
        <x:v>1</x:v>
      </x:c>
      <x:c r="K74" s="40" t="n">
        <x:f>VLOOKUP(B74,'员工计算'!$A$5:$H$16,8,FALSE)</x:f>
        <x:v>0</x:v>
      </x:c>
      <x:c r="L74" s="9" t="n">
        <x:f>J74*K74</x:f>
        <x:v>0</x:v>
      </x:c>
      <x:c r="M74" s="42" t="n">
        <x:f>VLOOKUP(G74,'制度参数'!$H$5:$I$7,2,FALSE)</x:f>
        <x:v>1</x:v>
      </x:c>
      <x:c r="N74" s="40" t="n">
        <x:f>VLOOKUP(F74,'制度参数'!$K$5:$L$7,2,FALSE)</x:f>
        <x:v>120</x:v>
      </x:c>
      <x:c r="O74" s="42" t="n">
        <x:f>IF(H74&lt;=N74,'制度参数'!$B$21,IF(H74&lt;=N74*'制度参数'!$B$24,'制度参数'!$B$22,'制度参数'!$B$23))</x:f>
        <x:v>0.8</x:v>
      </x:c>
      <x:c r="P74" s="32" t="n">
        <x:f>L74*M74*O74</x:f>
        <x:v>0</x:v>
      </x:c>
      <x:c r="Q74" s="9" t="n">
        <x:f>L74*I74</x:f>
        <x:v>0</x:v>
      </x:c>
      <x:c r="R74" s="40" t="str">
        <x:f>IF(L74=1,"有效计件",IF(J74=1,"人员无计奖资格",IF(OR(C74&lt;'制度参数'!$B$13,C74&gt;'制度参数'!$B$14),"关闭日期不在本月",IF(D74&lt;&gt;"已关闭","非已关闭","复核非有效"))))</x:f>
        <x:v>人员无计奖资格</x:v>
      </x:c>
    </x:row>
    <x:row r="75" ht="24" customHeight="1">
      <x:c r="A75" s="1" t="str">
        <x:v>T106-007</x:v>
      </x:c>
      <x:c r="B75" s="1" t="str">
        <x:v>CS106</x:v>
      </x:c>
      <x:c r="C75" s="12" t="n">
        <x:v>46283</x:v>
      </x:c>
      <x:c r="D75" s="1" t="str">
        <x:v>已关闭</x:v>
      </x:c>
      <x:c r="E75" s="1" t="str">
        <x:v>有效</x:v>
      </x:c>
      <x:c r="F75" s="1" t="str">
        <x:v>技术</x:v>
      </x:c>
      <x:c r="G75" s="1" t="str">
        <x:v>紧急</x:v>
      </x:c>
      <x:c r="H75" s="14" t="n">
        <x:v>720</x:v>
      </x:c>
      <x:c r="I75" s="1" t="n">
        <x:v>1</x:v>
      </x:c>
      <x:c r="J75" s="39" t="n">
        <x:f>IF(AND(C75&gt;='制度参数'!$B$13,C75&lt;='制度参数'!$B$14,D75="已关闭",E75="有效"),1,0)</x:f>
        <x:v>1</x:v>
      </x:c>
      <x:c r="K75" s="39" t="n">
        <x:f>VLOOKUP(B75,'员工计算'!$A$5:$H$16,8,FALSE)</x:f>
        <x:v>0</x:v>
      </x:c>
      <x:c r="L75" s="1" t="n">
        <x:f>J75*K75</x:f>
        <x:v>0</x:v>
      </x:c>
      <x:c r="M75" s="41" t="n">
        <x:f>VLOOKUP(G75,'制度参数'!$H$5:$I$7,2,FALSE)</x:f>
        <x:v>2</x:v>
      </x:c>
      <x:c r="N75" s="39" t="n">
        <x:f>VLOOKUP(F75,'制度参数'!$K$5:$L$7,2,FALSE)</x:f>
        <x:v>240</x:v>
      </x:c>
      <x:c r="O75" s="41" t="n">
        <x:f>IF(H75&lt;=N75,'制度参数'!$B$21,IF(H75&lt;=N75*'制度参数'!$B$24,'制度参数'!$B$22,'制度参数'!$B$23))</x:f>
        <x:v>0.5</x:v>
      </x:c>
      <x:c r="P75" s="31" t="n">
        <x:f>L75*M75*O75</x:f>
        <x:v>0</x:v>
      </x:c>
      <x:c r="Q75" s="1" t="n">
        <x:f>L75*I75</x:f>
        <x:v>0</x:v>
      </x:c>
      <x:c r="R75" s="39" t="str">
        <x:f>IF(L75=1,"有效计件",IF(J75=1,"人员无计奖资格",IF(OR(C75&lt;'制度参数'!$B$13,C75&gt;'制度参数'!$B$14),"关闭日期不在本月",IF(D75&lt;&gt;"已关闭","非已关闭","复核非有效"))))</x:f>
        <x:v>人员无计奖资格</x:v>
      </x:c>
    </x:row>
    <x:row r="76" ht="24" customHeight="1">
      <x:c r="A76" s="9" t="str">
        <x:v>T106-008</x:v>
      </x:c>
      <x:c r="B76" s="9" t="str">
        <x:v>CS106</x:v>
      </x:c>
      <x:c r="C76" s="13" t="n">
        <x:v>46285</x:v>
      </x:c>
      <x:c r="D76" s="9" t="str">
        <x:v>已关闭</x:v>
      </x:c>
      <x:c r="E76" s="9" t="str">
        <x:v>有效</x:v>
      </x:c>
      <x:c r="F76" s="9" t="str">
        <x:v>咨询</x:v>
      </x:c>
      <x:c r="G76" s="9" t="str">
        <x:v>复杂</x:v>
      </x:c>
      <x:c r="H76" s="15" t="n">
        <x:v>30</x:v>
      </x:c>
      <x:c r="I76" s="9" t="n">
        <x:v>0</x:v>
      </x:c>
      <x:c r="J76" s="40" t="n">
        <x:f>IF(AND(C76&gt;='制度参数'!$B$13,C76&lt;='制度参数'!$B$14,D76="已关闭",E76="有效"),1,0)</x:f>
        <x:v>1</x:v>
      </x:c>
      <x:c r="K76" s="40" t="n">
        <x:f>VLOOKUP(B76,'员工计算'!$A$5:$H$16,8,FALSE)</x:f>
        <x:v>0</x:v>
      </x:c>
      <x:c r="L76" s="9" t="n">
        <x:f>J76*K76</x:f>
        <x:v>0</x:v>
      </x:c>
      <x:c r="M76" s="42" t="n">
        <x:f>VLOOKUP(G76,'制度参数'!$H$5:$I$7,2,FALSE)</x:f>
        <x:v>1.5</x:v>
      </x:c>
      <x:c r="N76" s="40" t="n">
        <x:f>VLOOKUP(F76,'制度参数'!$K$5:$L$7,2,FALSE)</x:f>
        <x:v>30</x:v>
      </x:c>
      <x:c r="O76" s="42" t="n">
        <x:f>IF(H76&lt;=N76,'制度参数'!$B$21,IF(H76&lt;=N76*'制度参数'!$B$24,'制度参数'!$B$22,'制度参数'!$B$23))</x:f>
        <x:v>1.1</x:v>
      </x:c>
      <x:c r="P76" s="32" t="n">
        <x:f>L76*M76*O76</x:f>
        <x:v>0</x:v>
      </x:c>
      <x:c r="Q76" s="9" t="n">
        <x:f>L76*I76</x:f>
        <x:v>0</x:v>
      </x:c>
      <x:c r="R76" s="40" t="str">
        <x:f>IF(L76=1,"有效计件",IF(J76=1,"人员无计奖资格",IF(OR(C76&lt;'制度参数'!$B$13,C76&gt;'制度参数'!$B$14),"关闭日期不在本月",IF(D76&lt;&gt;"已关闭","非已关闭","复核非有效"))))</x:f>
        <x:v>人员无计奖资格</x:v>
      </x:c>
    </x:row>
    <x:row r="77" ht="24" customHeight="1">
      <x:c r="A77" s="1" t="str">
        <x:v>T106-009</x:v>
      </x:c>
      <x:c r="B77" s="1" t="str">
        <x:v>CS106</x:v>
      </x:c>
      <x:c r="C77" s="12" t="n">
        <x:v>46287</x:v>
      </x:c>
      <x:c r="D77" s="1" t="str">
        <x:v>已关闭</x:v>
      </x:c>
      <x:c r="E77" s="1" t="str">
        <x:v>有效</x:v>
      </x:c>
      <x:c r="F77" s="1" t="str">
        <x:v>投诉</x:v>
      </x:c>
      <x:c r="G77" s="1" t="str">
        <x:v>普通</x:v>
      </x:c>
      <x:c r="H77" s="14" t="n">
        <x:v>240</x:v>
      </x:c>
      <x:c r="I77" s="1" t="n">
        <x:v>2</x:v>
      </x:c>
      <x:c r="J77" s="39" t="n">
        <x:f>IF(AND(C77&gt;='制度参数'!$B$13,C77&lt;='制度参数'!$B$14,D77="已关闭",E77="有效"),1,0)</x:f>
        <x:v>1</x:v>
      </x:c>
      <x:c r="K77" s="39" t="n">
        <x:f>VLOOKUP(B77,'员工计算'!$A$5:$H$16,8,FALSE)</x:f>
        <x:v>0</x:v>
      </x:c>
      <x:c r="L77" s="1" t="n">
        <x:f>J77*K77</x:f>
        <x:v>0</x:v>
      </x:c>
      <x:c r="M77" s="41" t="n">
        <x:f>VLOOKUP(G77,'制度参数'!$H$5:$I$7,2,FALSE)</x:f>
        <x:v>1</x:v>
      </x:c>
      <x:c r="N77" s="39" t="n">
        <x:f>VLOOKUP(F77,'制度参数'!$K$5:$L$7,2,FALSE)</x:f>
        <x:v>120</x:v>
      </x:c>
      <x:c r="O77" s="41" t="n">
        <x:f>IF(H77&lt;=N77,'制度参数'!$B$21,IF(H77&lt;=N77*'制度参数'!$B$24,'制度参数'!$B$22,'制度参数'!$B$23))</x:f>
        <x:v>0.8</x:v>
      </x:c>
      <x:c r="P77" s="31" t="n">
        <x:f>L77*M77*O77</x:f>
        <x:v>0</x:v>
      </x:c>
      <x:c r="Q77" s="1" t="n">
        <x:f>L77*I77</x:f>
        <x:v>0</x:v>
      </x:c>
      <x:c r="R77" s="39" t="str">
        <x:f>IF(L77=1,"有效计件",IF(J77=1,"人员无计奖资格",IF(OR(C77&lt;'制度参数'!$B$13,C77&gt;'制度参数'!$B$14),"关闭日期不在本月",IF(D77&lt;&gt;"已关闭","非已关闭","复核非有效"))))</x:f>
        <x:v>人员无计奖资格</x:v>
      </x:c>
    </x:row>
    <x:row r="78" ht="24" customHeight="1">
      <x:c r="A78" s="9" t="str">
        <x:v>T106-010</x:v>
      </x:c>
      <x:c r="B78" s="9" t="str">
        <x:v>CS106</x:v>
      </x:c>
      <x:c r="C78" s="13" t="n">
        <x:v>46289</x:v>
      </x:c>
      <x:c r="D78" s="9" t="str">
        <x:v>已关闭</x:v>
      </x:c>
      <x:c r="E78" s="9" t="str">
        <x:v>有效</x:v>
      </x:c>
      <x:c r="F78" s="9" t="str">
        <x:v>技术</x:v>
      </x:c>
      <x:c r="G78" s="9" t="str">
        <x:v>紧急</x:v>
      </x:c>
      <x:c r="H78" s="15" t="n">
        <x:v>482.4</x:v>
      </x:c>
      <x:c r="I78" s="9" t="n">
        <x:v>0</x:v>
      </x:c>
      <x:c r="J78" s="40" t="n">
        <x:f>IF(AND(C78&gt;='制度参数'!$B$13,C78&lt;='制度参数'!$B$14,D78="已关闭",E78="有效"),1,0)</x:f>
        <x:v>1</x:v>
      </x:c>
      <x:c r="K78" s="40" t="n">
        <x:f>VLOOKUP(B78,'员工计算'!$A$5:$H$16,8,FALSE)</x:f>
        <x:v>0</x:v>
      </x:c>
      <x:c r="L78" s="9" t="n">
        <x:f>J78*K78</x:f>
        <x:v>0</x:v>
      </x:c>
      <x:c r="M78" s="42" t="n">
        <x:f>VLOOKUP(G78,'制度参数'!$H$5:$I$7,2,FALSE)</x:f>
        <x:v>2</x:v>
      </x:c>
      <x:c r="N78" s="40" t="n">
        <x:f>VLOOKUP(F78,'制度参数'!$K$5:$L$7,2,FALSE)</x:f>
        <x:v>240</x:v>
      </x:c>
      <x:c r="O78" s="42" t="n">
        <x:f>IF(H78&lt;=N78,'制度参数'!$B$21,IF(H78&lt;=N78*'制度参数'!$B$24,'制度参数'!$B$22,'制度参数'!$B$23))</x:f>
        <x:v>0.5</x:v>
      </x:c>
      <x:c r="P78" s="32" t="n">
        <x:f>L78*M78*O78</x:f>
        <x:v>0</x:v>
      </x:c>
      <x:c r="Q78" s="9" t="n">
        <x:f>L78*I78</x:f>
        <x:v>0</x:v>
      </x:c>
      <x:c r="R78" s="40" t="str">
        <x:f>IF(L78=1,"有效计件",IF(J78=1,"人员无计奖资格",IF(OR(C78&lt;'制度参数'!$B$13,C78&gt;'制度参数'!$B$14),"关闭日期不在本月",IF(D78&lt;&gt;"已关闭","非已关闭","复核非有效"))))</x:f>
        <x:v>人员无计奖资格</x:v>
      </x:c>
    </x:row>
    <x:row r="79" ht="24" customHeight="1">
      <x:c r="A79" s="1" t="str">
        <x:v>T106-011</x:v>
      </x:c>
      <x:c r="B79" s="1" t="str">
        <x:v>CS106</x:v>
      </x:c>
      <x:c r="C79" s="12" t="n">
        <x:v>46291</x:v>
      </x:c>
      <x:c r="D79" s="1" t="str">
        <x:v>已关闭</x:v>
      </x:c>
      <x:c r="E79" s="1" t="str">
        <x:v>有效</x:v>
      </x:c>
      <x:c r="F79" s="1" t="str">
        <x:v>咨询</x:v>
      </x:c>
      <x:c r="G79" s="1" t="str">
        <x:v>复杂</x:v>
      </x:c>
      <x:c r="H79" s="14" t="n">
        <x:v>24</x:v>
      </x:c>
      <x:c r="I79" s="1" t="n">
        <x:v>0</x:v>
      </x:c>
      <x:c r="J79" s="39" t="n">
        <x:f>IF(AND(C79&gt;='制度参数'!$B$13,C79&lt;='制度参数'!$B$14,D79="已关闭",E79="有效"),1,0)</x:f>
        <x:v>1</x:v>
      </x:c>
      <x:c r="K79" s="39" t="n">
        <x:f>VLOOKUP(B79,'员工计算'!$A$5:$H$16,8,FALSE)</x:f>
        <x:v>0</x:v>
      </x:c>
      <x:c r="L79" s="1" t="n">
        <x:f>J79*K79</x:f>
        <x:v>0</x:v>
      </x:c>
      <x:c r="M79" s="41" t="n">
        <x:f>VLOOKUP(G79,'制度参数'!$H$5:$I$7,2,FALSE)</x:f>
        <x:v>1.5</x:v>
      </x:c>
      <x:c r="N79" s="39" t="n">
        <x:f>VLOOKUP(F79,'制度参数'!$K$5:$L$7,2,FALSE)</x:f>
        <x:v>30</x:v>
      </x:c>
      <x:c r="O79" s="41" t="n">
        <x:f>IF(H79&lt;=N79,'制度参数'!$B$21,IF(H79&lt;=N79*'制度参数'!$B$24,'制度参数'!$B$22,'制度参数'!$B$23))</x:f>
        <x:v>1.1</x:v>
      </x:c>
      <x:c r="P79" s="31" t="n">
        <x:f>L79*M79*O79</x:f>
        <x:v>0</x:v>
      </x:c>
      <x:c r="Q79" s="1" t="n">
        <x:f>L79*I79</x:f>
        <x:v>0</x:v>
      </x:c>
      <x:c r="R79" s="39" t="str">
        <x:f>IF(L79=1,"有效计件",IF(J79=1,"人员无计奖资格",IF(OR(C79&lt;'制度参数'!$B$13,C79&gt;'制度参数'!$B$14),"关闭日期不在本月",IF(D79&lt;&gt;"已关闭","非已关闭","复核非有效"))))</x:f>
        <x:v>人员无计奖资格</x:v>
      </x:c>
    </x:row>
    <x:row r="80" ht="24" customHeight="1">
      <x:c r="A80" s="9" t="str">
        <x:v>T106-012</x:v>
      </x:c>
      <x:c r="B80" s="9" t="str">
        <x:v>CS106</x:v>
      </x:c>
      <x:c r="C80" s="13" t="n">
        <x:v>46293</x:v>
      </x:c>
      <x:c r="D80" s="9" t="str">
        <x:v>处理中</x:v>
      </x:c>
      <x:c r="E80" s="9" t="str">
        <x:v>有效</x:v>
      </x:c>
      <x:c r="F80" s="9" t="str">
        <x:v>投诉</x:v>
      </x:c>
      <x:c r="G80" s="9" t="str">
        <x:v>普通</x:v>
      </x:c>
      <x:c r="H80" s="15" t="n">
        <x:v>180</x:v>
      </x:c>
      <x:c r="I80" s="9" t="n">
        <x:v>1</x:v>
      </x:c>
      <x:c r="J80" s="40" t="n">
        <x:f>IF(AND(C80&gt;='制度参数'!$B$13,C80&lt;='制度参数'!$B$14,D80="已关闭",E80="有效"),1,0)</x:f>
        <x:v>0</x:v>
      </x:c>
      <x:c r="K80" s="40" t="n">
        <x:f>VLOOKUP(B80,'员工计算'!$A$5:$H$16,8,FALSE)</x:f>
        <x:v>0</x:v>
      </x:c>
      <x:c r="L80" s="9" t="n">
        <x:f>J80*K80</x:f>
        <x:v>0</x:v>
      </x:c>
      <x:c r="M80" s="42" t="n">
        <x:f>VLOOKUP(G80,'制度参数'!$H$5:$I$7,2,FALSE)</x:f>
        <x:v>1</x:v>
      </x:c>
      <x:c r="N80" s="40" t="n">
        <x:f>VLOOKUP(F80,'制度参数'!$K$5:$L$7,2,FALSE)</x:f>
        <x:v>120</x:v>
      </x:c>
      <x:c r="O80" s="42" t="n">
        <x:f>IF(H80&lt;=N80,'制度参数'!$B$21,IF(H80&lt;=N80*'制度参数'!$B$24,'制度参数'!$B$22,'制度参数'!$B$23))</x:f>
        <x:v>0.8</x:v>
      </x:c>
      <x:c r="P80" s="32" t="n">
        <x:f>L80*M80*O80</x:f>
        <x:v>0</x:v>
      </x:c>
      <x:c r="Q80" s="9" t="n">
        <x:f>L80*I80</x:f>
        <x:v>0</x:v>
      </x:c>
      <x:c r="R80" s="40" t="str">
        <x:f>IF(L80=1,"有效计件",IF(J80=1,"人员无计奖资格",IF(OR(C80&lt;'制度参数'!$B$13,C80&gt;'制度参数'!$B$14),"关闭日期不在本月",IF(D80&lt;&gt;"已关闭","非已关闭","复核非有效"))))</x:f>
        <x:v>非已关闭</x:v>
      </x:c>
    </x:row>
    <x:row r="81" ht="24" customHeight="1">
      <x:c r="A81" s="1" t="str">
        <x:v>T106-013</x:v>
      </x:c>
      <x:c r="B81" s="1" t="str">
        <x:v>CS106</x:v>
      </x:c>
      <x:c r="C81" s="12" t="n">
        <x:v>46295</x:v>
      </x:c>
      <x:c r="D81" s="1" t="str">
        <x:v>已作废</x:v>
      </x:c>
      <x:c r="E81" s="1" t="str">
        <x:v>有效</x:v>
      </x:c>
      <x:c r="F81" s="1" t="str">
        <x:v>技术</x:v>
      </x:c>
      <x:c r="G81" s="1" t="str">
        <x:v>紧急</x:v>
      </x:c>
      <x:c r="H81" s="14" t="n">
        <x:v>720</x:v>
      </x:c>
      <x:c r="I81" s="1" t="n">
        <x:v>0</x:v>
      </x:c>
      <x:c r="J81" s="39" t="n">
        <x:f>IF(AND(C81&gt;='制度参数'!$B$13,C81&lt;='制度参数'!$B$14,D81="已关闭",E81="有效"),1,0)</x:f>
        <x:v>0</x:v>
      </x:c>
      <x:c r="K81" s="39" t="n">
        <x:f>VLOOKUP(B81,'员工计算'!$A$5:$H$16,8,FALSE)</x:f>
        <x:v>0</x:v>
      </x:c>
      <x:c r="L81" s="1" t="n">
        <x:f>J81*K81</x:f>
        <x:v>0</x:v>
      </x:c>
      <x:c r="M81" s="41" t="n">
        <x:f>VLOOKUP(G81,'制度参数'!$H$5:$I$7,2,FALSE)</x:f>
        <x:v>2</x:v>
      </x:c>
      <x:c r="N81" s="39" t="n">
        <x:f>VLOOKUP(F81,'制度参数'!$K$5:$L$7,2,FALSE)</x:f>
        <x:v>240</x:v>
      </x:c>
      <x:c r="O81" s="41" t="n">
        <x:f>IF(H81&lt;=N81,'制度参数'!$B$21,IF(H81&lt;=N81*'制度参数'!$B$24,'制度参数'!$B$22,'制度参数'!$B$23))</x:f>
        <x:v>0.5</x:v>
      </x:c>
      <x:c r="P81" s="31" t="n">
        <x:f>L81*M81*O81</x:f>
        <x:v>0</x:v>
      </x:c>
      <x:c r="Q81" s="1" t="n">
        <x:f>L81*I81</x:f>
        <x:v>0</x:v>
      </x:c>
      <x:c r="R81" s="39" t="str">
        <x:f>IF(L81=1,"有效计件",IF(J81=1,"人员无计奖资格",IF(OR(C81&lt;'制度参数'!$B$13,C81&gt;'制度参数'!$B$14),"关闭日期不在本月",IF(D81&lt;&gt;"已关闭","非已关闭","复核非有效"))))</x:f>
        <x:v>非已关闭</x:v>
      </x:c>
    </x:row>
    <x:row r="82" ht="24" customHeight="1">
      <x:c r="A82" s="9" t="str">
        <x:v>T106-014</x:v>
      </x:c>
      <x:c r="B82" s="9" t="str">
        <x:v>CS106</x:v>
      </x:c>
      <x:c r="C82" s="13" t="n">
        <x:v>46265</x:v>
      </x:c>
      <x:c r="D82" s="9" t="str">
        <x:v>已关闭</x:v>
      </x:c>
      <x:c r="E82" s="9" t="str">
        <x:v>有效</x:v>
      </x:c>
      <x:c r="F82" s="9" t="str">
        <x:v>咨询</x:v>
      </x:c>
      <x:c r="G82" s="9" t="str">
        <x:v>复杂</x:v>
      </x:c>
      <x:c r="H82" s="15" t="n">
        <x:v>30</x:v>
      </x:c>
      <x:c r="I82" s="9" t="n">
        <x:v>2</x:v>
      </x:c>
      <x:c r="J82" s="40" t="n">
        <x:f>IF(AND(C82&gt;='制度参数'!$B$13,C82&lt;='制度参数'!$B$14,D82="已关闭",E82="有效"),1,0)</x:f>
        <x:v>0</x:v>
      </x:c>
      <x:c r="K82" s="40" t="n">
        <x:f>VLOOKUP(B82,'员工计算'!$A$5:$H$16,8,FALSE)</x:f>
        <x:v>0</x:v>
      </x:c>
      <x:c r="L82" s="9" t="n">
        <x:f>J82*K82</x:f>
        <x:v>0</x:v>
      </x:c>
      <x:c r="M82" s="42" t="n">
        <x:f>VLOOKUP(G82,'制度参数'!$H$5:$I$7,2,FALSE)</x:f>
        <x:v>1.5</x:v>
      </x:c>
      <x:c r="N82" s="40" t="n">
        <x:f>VLOOKUP(F82,'制度参数'!$K$5:$L$7,2,FALSE)</x:f>
        <x:v>30</x:v>
      </x:c>
      <x:c r="O82" s="42" t="n">
        <x:f>IF(H82&lt;=N82,'制度参数'!$B$21,IF(H82&lt;=N82*'制度参数'!$B$24,'制度参数'!$B$22,'制度参数'!$B$23))</x:f>
        <x:v>1.1</x:v>
      </x:c>
      <x:c r="P82" s="32" t="n">
        <x:f>L82*M82*O82</x:f>
        <x:v>0</x:v>
      </x:c>
      <x:c r="Q82" s="9" t="n">
        <x:f>L82*I82</x:f>
        <x:v>0</x:v>
      </x:c>
      <x:c r="R82" s="40" t="str">
        <x:f>IF(L82=1,"有效计件",IF(J82=1,"人员无计奖资格",IF(OR(C82&lt;'制度参数'!$B$13,C82&gt;'制度参数'!$B$14),"关闭日期不在本月",IF(D82&lt;&gt;"已关闭","非已关闭","复核非有效"))))</x:f>
        <x:v>关闭日期不在本月</x:v>
      </x:c>
    </x:row>
    <x:row r="83" ht="24" customHeight="1">
      <x:c r="A83" s="1" t="str">
        <x:v>T106-015</x:v>
      </x:c>
      <x:c r="B83" s="1" t="str">
        <x:v>CS106</x:v>
      </x:c>
      <x:c r="C83" s="12" t="n">
        <x:v>46296</x:v>
      </x:c>
      <x:c r="D83" s="1" t="str">
        <x:v>已关闭</x:v>
      </x:c>
      <x:c r="E83" s="1" t="str">
        <x:v>有效</x:v>
      </x:c>
      <x:c r="F83" s="1" t="str">
        <x:v>投诉</x:v>
      </x:c>
      <x:c r="G83" s="1" t="str">
        <x:v>普通</x:v>
      </x:c>
      <x:c r="H83" s="14" t="n">
        <x:v>240</x:v>
      </x:c>
      <x:c r="I83" s="1" t="n">
        <x:v>0</x:v>
      </x:c>
      <x:c r="J83" s="39" t="n">
        <x:f>IF(AND(C83&gt;='制度参数'!$B$13,C83&lt;='制度参数'!$B$14,D83="已关闭",E83="有效"),1,0)</x:f>
        <x:v>0</x:v>
      </x:c>
      <x:c r="K83" s="39" t="n">
        <x:f>VLOOKUP(B83,'员工计算'!$A$5:$H$16,8,FALSE)</x:f>
        <x:v>0</x:v>
      </x:c>
      <x:c r="L83" s="1" t="n">
        <x:f>J83*K83</x:f>
        <x:v>0</x:v>
      </x:c>
      <x:c r="M83" s="41" t="n">
        <x:f>VLOOKUP(G83,'制度参数'!$H$5:$I$7,2,FALSE)</x:f>
        <x:v>1</x:v>
      </x:c>
      <x:c r="N83" s="39" t="n">
        <x:f>VLOOKUP(F83,'制度参数'!$K$5:$L$7,2,FALSE)</x:f>
        <x:v>120</x:v>
      </x:c>
      <x:c r="O83" s="41" t="n">
        <x:f>IF(H83&lt;=N83,'制度参数'!$B$21,IF(H83&lt;=N83*'制度参数'!$B$24,'制度参数'!$B$22,'制度参数'!$B$23))</x:f>
        <x:v>0.8</x:v>
      </x:c>
      <x:c r="P83" s="31" t="n">
        <x:f>L83*M83*O83</x:f>
        <x:v>0</x:v>
      </x:c>
      <x:c r="Q83" s="1" t="n">
        <x:f>L83*I83</x:f>
        <x:v>0</x:v>
      </x:c>
      <x:c r="R83" s="39" t="str">
        <x:f>IF(L83=1,"有效计件",IF(J83=1,"人员无计奖资格",IF(OR(C83&lt;'制度参数'!$B$13,C83&gt;'制度参数'!$B$14),"关闭日期不在本月",IF(D83&lt;&gt;"已关闭","非已关闭","复核非有效"))))</x:f>
        <x:v>关闭日期不在本月</x:v>
      </x:c>
    </x:row>
    <x:row r="84" ht="24" customHeight="1">
      <x:c r="A84" s="9" t="str">
        <x:v>T106-016</x:v>
      </x:c>
      <x:c r="B84" s="9" t="str">
        <x:v>CS106</x:v>
      </x:c>
      <x:c r="C84" s="13" t="n">
        <x:v>46271</x:v>
      </x:c>
      <x:c r="D84" s="9" t="str">
        <x:v>已关闭</x:v>
      </x:c>
      <x:c r="E84" s="9" t="str">
        <x:v>待确认</x:v>
      </x:c>
      <x:c r="F84" s="9" t="str">
        <x:v>技术</x:v>
      </x:c>
      <x:c r="G84" s="9" t="str">
        <x:v>紧急</x:v>
      </x:c>
      <x:c r="H84" s="15" t="n">
        <x:v>482.4</x:v>
      </x:c>
      <x:c r="I84" s="9" t="n">
        <x:v>0</x:v>
      </x:c>
      <x:c r="J84" s="40" t="n">
        <x:f>IF(AND(C84&gt;='制度参数'!$B$13,C84&lt;='制度参数'!$B$14,D84="已关闭",E84="有效"),1,0)</x:f>
        <x:v>0</x:v>
      </x:c>
      <x:c r="K84" s="40" t="n">
        <x:f>VLOOKUP(B84,'员工计算'!$A$5:$H$16,8,FALSE)</x:f>
        <x:v>0</x:v>
      </x:c>
      <x:c r="L84" s="9" t="n">
        <x:f>J84*K84</x:f>
        <x:v>0</x:v>
      </x:c>
      <x:c r="M84" s="42" t="n">
        <x:f>VLOOKUP(G84,'制度参数'!$H$5:$I$7,2,FALSE)</x:f>
        <x:v>2</x:v>
      </x:c>
      <x:c r="N84" s="40" t="n">
        <x:f>VLOOKUP(F84,'制度参数'!$K$5:$L$7,2,FALSE)</x:f>
        <x:v>240</x:v>
      </x:c>
      <x:c r="O84" s="42" t="n">
        <x:f>IF(H84&lt;=N84,'制度参数'!$B$21,IF(H84&lt;=N84*'制度参数'!$B$24,'制度参数'!$B$22,'制度参数'!$B$23))</x:f>
        <x:v>0.5</x:v>
      </x:c>
      <x:c r="P84" s="32" t="n">
        <x:f>L84*M84*O84</x:f>
        <x:v>0</x:v>
      </x:c>
      <x:c r="Q84" s="9" t="n">
        <x:f>L84*I84</x:f>
        <x:v>0</x:v>
      </x:c>
      <x:c r="R84" s="40" t="str">
        <x:f>IF(L84=1,"有效计件",IF(J84=1,"人员无计奖资格",IF(OR(C84&lt;'制度参数'!$B$13,C84&gt;'制度参数'!$B$14),"关闭日期不在本月",IF(D84&lt;&gt;"已关闭","非已关闭","复核非有效"))))</x:f>
        <x:v>复核非有效</x:v>
      </x:c>
    </x:row>
    <x:row r="85" ht="24" customHeight="1">
      <x:c r="A85" s="1" t="str">
        <x:v>T106-017</x:v>
      </x:c>
      <x:c r="B85" s="1" t="str">
        <x:v>CS106</x:v>
      </x:c>
      <x:c r="C85" s="12" t="n">
        <x:v>46273</x:v>
      </x:c>
      <x:c r="D85" s="1" t="str">
        <x:v>已关闭</x:v>
      </x:c>
      <x:c r="E85" s="1" t="str">
        <x:v>无效</x:v>
      </x:c>
      <x:c r="F85" s="1" t="str">
        <x:v>咨询</x:v>
      </x:c>
      <x:c r="G85" s="1" t="str">
        <x:v>复杂</x:v>
      </x:c>
      <x:c r="H85" s="14" t="n">
        <x:v>24</x:v>
      </x:c>
      <x:c r="I85" s="1" t="n">
        <x:v>1</x:v>
      </x:c>
      <x:c r="J85" s="39" t="n">
        <x:f>IF(AND(C85&gt;='制度参数'!$B$13,C85&lt;='制度参数'!$B$14,D85="已关闭",E85="有效"),1,0)</x:f>
        <x:v>0</x:v>
      </x:c>
      <x:c r="K85" s="39" t="n">
        <x:f>VLOOKUP(B85,'员工计算'!$A$5:$H$16,8,FALSE)</x:f>
        <x:v>0</x:v>
      </x:c>
      <x:c r="L85" s="1" t="n">
        <x:f>J85*K85</x:f>
        <x:v>0</x:v>
      </x:c>
      <x:c r="M85" s="41" t="n">
        <x:f>VLOOKUP(G85,'制度参数'!$H$5:$I$7,2,FALSE)</x:f>
        <x:v>1.5</x:v>
      </x:c>
      <x:c r="N85" s="39" t="n">
        <x:f>VLOOKUP(F85,'制度参数'!$K$5:$L$7,2,FALSE)</x:f>
        <x:v>30</x:v>
      </x:c>
      <x:c r="O85" s="41" t="n">
        <x:f>IF(H85&lt;=N85,'制度参数'!$B$21,IF(H85&lt;=N85*'制度参数'!$B$24,'制度参数'!$B$22,'制度参数'!$B$23))</x:f>
        <x:v>1.1</x:v>
      </x:c>
      <x:c r="P85" s="31" t="n">
        <x:f>L85*M85*O85</x:f>
        <x:v>0</x:v>
      </x:c>
      <x:c r="Q85" s="1" t="n">
        <x:f>L85*I85</x:f>
        <x:v>0</x:v>
      </x:c>
      <x:c r="R85" s="39" t="str">
        <x:f>IF(L85=1,"有效计件",IF(J85=1,"人员无计奖资格",IF(OR(C85&lt;'制度参数'!$B$13,C85&gt;'制度参数'!$B$14),"关闭日期不在本月",IF(D85&lt;&gt;"已关闭","非已关闭","复核非有效"))))</x:f>
        <x:v>复核非有效</x:v>
      </x:c>
    </x:row>
    <x:row r="86" ht="24" customHeight="1">
      <x:c r="A86" s="9" t="str">
        <x:v>T107-001</x:v>
      </x:c>
      <x:c r="B86" s="9" t="str">
        <x:v>CS107</x:v>
      </x:c>
      <x:c r="C86" s="13" t="n">
        <x:v>46272</x:v>
      </x:c>
      <x:c r="D86" s="9" t="str">
        <x:v>已关闭</x:v>
      </x:c>
      <x:c r="E86" s="9" t="str">
        <x:v>有效</x:v>
      </x:c>
      <x:c r="F86" s="9" t="str">
        <x:v>咨询</x:v>
      </x:c>
      <x:c r="G86" s="9" t="str">
        <x:v>普通</x:v>
      </x:c>
      <x:c r="H86" s="15" t="n">
        <x:v>30</x:v>
      </x:c>
      <x:c r="I86" s="9" t="n">
        <x:v>1</x:v>
      </x:c>
      <x:c r="J86" s="40" t="n">
        <x:f>IF(AND(C86&gt;='制度参数'!$B$13,C86&lt;='制度参数'!$B$14,D86="已关闭",E86="有效"),1,0)</x:f>
        <x:v>1</x:v>
      </x:c>
      <x:c r="K86" s="40" t="n">
        <x:f>VLOOKUP(B86,'员工计算'!$A$5:$H$16,8,FALSE)</x:f>
        <x:v>0</x:v>
      </x:c>
      <x:c r="L86" s="9" t="n">
        <x:f>J86*K86</x:f>
        <x:v>0</x:v>
      </x:c>
      <x:c r="M86" s="42" t="n">
        <x:f>VLOOKUP(G86,'制度参数'!$H$5:$I$7,2,FALSE)</x:f>
        <x:v>1</x:v>
      </x:c>
      <x:c r="N86" s="40" t="n">
        <x:f>VLOOKUP(F86,'制度参数'!$K$5:$L$7,2,FALSE)</x:f>
        <x:v>30</x:v>
      </x:c>
      <x:c r="O86" s="42" t="n">
        <x:f>IF(H86&lt;=N86,'制度参数'!$B$21,IF(H86&lt;=N86*'制度参数'!$B$24,'制度参数'!$B$22,'制度参数'!$B$23))</x:f>
        <x:v>1.1</x:v>
      </x:c>
      <x:c r="P86" s="32" t="n">
        <x:f>L86*M86*O86</x:f>
        <x:v>0</x:v>
      </x:c>
      <x:c r="Q86" s="9" t="n">
        <x:f>L86*I86</x:f>
        <x:v>0</x:v>
      </x:c>
      <x:c r="R86" s="40" t="str">
        <x:f>IF(L86=1,"有效计件",IF(J86=1,"人员无计奖资格",IF(OR(C86&lt;'制度参数'!$B$13,C86&gt;'制度参数'!$B$14),"关闭日期不在本月",IF(D86&lt;&gt;"已关闭","非已关闭","复核非有效"))))</x:f>
        <x:v>人员无计奖资格</x:v>
      </x:c>
    </x:row>
    <x:row r="87" ht="24" customHeight="1">
      <x:c r="A87" s="1" t="str">
        <x:v>T107-002</x:v>
      </x:c>
      <x:c r="B87" s="1" t="str">
        <x:v>CS107</x:v>
      </x:c>
      <x:c r="C87" s="12" t="n">
        <x:v>46274</x:v>
      </x:c>
      <x:c r="D87" s="1" t="str">
        <x:v>已关闭</x:v>
      </x:c>
      <x:c r="E87" s="1" t="str">
        <x:v>有效</x:v>
      </x:c>
      <x:c r="F87" s="1" t="str">
        <x:v>投诉</x:v>
      </x:c>
      <x:c r="G87" s="1" t="str">
        <x:v>紧急</x:v>
      </x:c>
      <x:c r="H87" s="14" t="n">
        <x:v>240</x:v>
      </x:c>
      <x:c r="I87" s="1" t="n">
        <x:v>0</x:v>
      </x:c>
      <x:c r="J87" s="39" t="n">
        <x:f>IF(AND(C87&gt;='制度参数'!$B$13,C87&lt;='制度参数'!$B$14,D87="已关闭",E87="有效"),1,0)</x:f>
        <x:v>1</x:v>
      </x:c>
      <x:c r="K87" s="39" t="n">
        <x:f>VLOOKUP(B87,'员工计算'!$A$5:$H$16,8,FALSE)</x:f>
        <x:v>0</x:v>
      </x:c>
      <x:c r="L87" s="1" t="n">
        <x:f>J87*K87</x:f>
        <x:v>0</x:v>
      </x:c>
      <x:c r="M87" s="41" t="n">
        <x:f>VLOOKUP(G87,'制度参数'!$H$5:$I$7,2,FALSE)</x:f>
        <x:v>2</x:v>
      </x:c>
      <x:c r="N87" s="39" t="n">
        <x:f>VLOOKUP(F87,'制度参数'!$K$5:$L$7,2,FALSE)</x:f>
        <x:v>120</x:v>
      </x:c>
      <x:c r="O87" s="41" t="n">
        <x:f>IF(H87&lt;=N87,'制度参数'!$B$21,IF(H87&lt;=N87*'制度参数'!$B$24,'制度参数'!$B$22,'制度参数'!$B$23))</x:f>
        <x:v>0.8</x:v>
      </x:c>
      <x:c r="P87" s="31" t="n">
        <x:f>L87*M87*O87</x:f>
        <x:v>0</x:v>
      </x:c>
      <x:c r="Q87" s="1" t="n">
        <x:f>L87*I87</x:f>
        <x:v>0</x:v>
      </x:c>
      <x:c r="R87" s="39" t="str">
        <x:f>IF(L87=1,"有效计件",IF(J87=1,"人员无计奖资格",IF(OR(C87&lt;'制度参数'!$B$13,C87&gt;'制度参数'!$B$14),"关闭日期不在本月",IF(D87&lt;&gt;"已关闭","非已关闭","复核非有效"))))</x:f>
        <x:v>人员无计奖资格</x:v>
      </x:c>
    </x:row>
    <x:row r="88" ht="24" customHeight="1">
      <x:c r="A88" s="9" t="str">
        <x:v>T107-003</x:v>
      </x:c>
      <x:c r="B88" s="9" t="str">
        <x:v>CS107</x:v>
      </x:c>
      <x:c r="C88" s="13" t="n">
        <x:v>46276</x:v>
      </x:c>
      <x:c r="D88" s="9" t="str">
        <x:v>已关闭</x:v>
      </x:c>
      <x:c r="E88" s="9" t="str">
        <x:v>有效</x:v>
      </x:c>
      <x:c r="F88" s="9" t="str">
        <x:v>技术</x:v>
      </x:c>
      <x:c r="G88" s="9" t="str">
        <x:v>复杂</x:v>
      </x:c>
      <x:c r="H88" s="15" t="n">
        <x:v>482.4</x:v>
      </x:c>
      <x:c r="I88" s="9" t="n">
        <x:v>2</x:v>
      </x:c>
      <x:c r="J88" s="40" t="n">
        <x:f>IF(AND(C88&gt;='制度参数'!$B$13,C88&lt;='制度参数'!$B$14,D88="已关闭",E88="有效"),1,0)</x:f>
        <x:v>1</x:v>
      </x:c>
      <x:c r="K88" s="40" t="n">
        <x:f>VLOOKUP(B88,'员工计算'!$A$5:$H$16,8,FALSE)</x:f>
        <x:v>0</x:v>
      </x:c>
      <x:c r="L88" s="9" t="n">
        <x:f>J88*K88</x:f>
        <x:v>0</x:v>
      </x:c>
      <x:c r="M88" s="42" t="n">
        <x:f>VLOOKUP(G88,'制度参数'!$H$5:$I$7,2,FALSE)</x:f>
        <x:v>1.5</x:v>
      </x:c>
      <x:c r="N88" s="40" t="n">
        <x:f>VLOOKUP(F88,'制度参数'!$K$5:$L$7,2,FALSE)</x:f>
        <x:v>240</x:v>
      </x:c>
      <x:c r="O88" s="42" t="n">
        <x:f>IF(H88&lt;=N88,'制度参数'!$B$21,IF(H88&lt;=N88*'制度参数'!$B$24,'制度参数'!$B$22,'制度参数'!$B$23))</x:f>
        <x:v>0.5</x:v>
      </x:c>
      <x:c r="P88" s="32" t="n">
        <x:f>L88*M88*O88</x:f>
        <x:v>0</x:v>
      </x:c>
      <x:c r="Q88" s="9" t="n">
        <x:f>L88*I88</x:f>
        <x:v>0</x:v>
      </x:c>
      <x:c r="R88" s="40" t="str">
        <x:f>IF(L88=1,"有效计件",IF(J88=1,"人员无计奖资格",IF(OR(C88&lt;'制度参数'!$B$13,C88&gt;'制度参数'!$B$14),"关闭日期不在本月",IF(D88&lt;&gt;"已关闭","非已关闭","复核非有效"))))</x:f>
        <x:v>人员无计奖资格</x:v>
      </x:c>
    </x:row>
    <x:row r="89" ht="24" customHeight="1">
      <x:c r="A89" s="1" t="str">
        <x:v>T107-004</x:v>
      </x:c>
      <x:c r="B89" s="1" t="str">
        <x:v>CS107</x:v>
      </x:c>
      <x:c r="C89" s="12" t="n">
        <x:v>46278</x:v>
      </x:c>
      <x:c r="D89" s="1" t="str">
        <x:v>已关闭</x:v>
      </x:c>
      <x:c r="E89" s="1" t="str">
        <x:v>有效</x:v>
      </x:c>
      <x:c r="F89" s="1" t="str">
        <x:v>咨询</x:v>
      </x:c>
      <x:c r="G89" s="1" t="str">
        <x:v>普通</x:v>
      </x:c>
      <x:c r="H89" s="14" t="n">
        <x:v>24</x:v>
      </x:c>
      <x:c r="I89" s="1" t="n">
        <x:v>0</x:v>
      </x:c>
      <x:c r="J89" s="39" t="n">
        <x:f>IF(AND(C89&gt;='制度参数'!$B$13,C89&lt;='制度参数'!$B$14,D89="已关闭",E89="有效"),1,0)</x:f>
        <x:v>1</x:v>
      </x:c>
      <x:c r="K89" s="39" t="n">
        <x:f>VLOOKUP(B89,'员工计算'!$A$5:$H$16,8,FALSE)</x:f>
        <x:v>0</x:v>
      </x:c>
      <x:c r="L89" s="1" t="n">
        <x:f>J89*K89</x:f>
        <x:v>0</x:v>
      </x:c>
      <x:c r="M89" s="41" t="n">
        <x:f>VLOOKUP(G89,'制度参数'!$H$5:$I$7,2,FALSE)</x:f>
        <x:v>1</x:v>
      </x:c>
      <x:c r="N89" s="39" t="n">
        <x:f>VLOOKUP(F89,'制度参数'!$K$5:$L$7,2,FALSE)</x:f>
        <x:v>30</x:v>
      </x:c>
      <x:c r="O89" s="41" t="n">
        <x:f>IF(H89&lt;=N89,'制度参数'!$B$21,IF(H89&lt;=N89*'制度参数'!$B$24,'制度参数'!$B$22,'制度参数'!$B$23))</x:f>
        <x:v>1.1</x:v>
      </x:c>
      <x:c r="P89" s="31" t="n">
        <x:f>L89*M89*O89</x:f>
        <x:v>0</x:v>
      </x:c>
      <x:c r="Q89" s="1" t="n">
        <x:f>L89*I89</x:f>
        <x:v>0</x:v>
      </x:c>
      <x:c r="R89" s="39" t="str">
        <x:f>IF(L89=1,"有效计件",IF(J89=1,"人员无计奖资格",IF(OR(C89&lt;'制度参数'!$B$13,C89&gt;'制度参数'!$B$14),"关闭日期不在本月",IF(D89&lt;&gt;"已关闭","非已关闭","复核非有效"))))</x:f>
        <x:v>人员无计奖资格</x:v>
      </x:c>
    </x:row>
    <x:row r="90" ht="24" customHeight="1">
      <x:c r="A90" s="9" t="str">
        <x:v>T107-005</x:v>
      </x:c>
      <x:c r="B90" s="9" t="str">
        <x:v>CS107</x:v>
      </x:c>
      <x:c r="C90" s="13" t="n">
        <x:v>46280</x:v>
      </x:c>
      <x:c r="D90" s="9" t="str">
        <x:v>已关闭</x:v>
      </x:c>
      <x:c r="E90" s="9" t="str">
        <x:v>有效</x:v>
      </x:c>
      <x:c r="F90" s="9" t="str">
        <x:v>投诉</x:v>
      </x:c>
      <x:c r="G90" s="9" t="str">
        <x:v>紧急</x:v>
      </x:c>
      <x:c r="H90" s="15" t="n">
        <x:v>180</x:v>
      </x:c>
      <x:c r="I90" s="9" t="n">
        <x:v>0</x:v>
      </x:c>
      <x:c r="J90" s="40" t="n">
        <x:f>IF(AND(C90&gt;='制度参数'!$B$13,C90&lt;='制度参数'!$B$14,D90="已关闭",E90="有效"),1,0)</x:f>
        <x:v>1</x:v>
      </x:c>
      <x:c r="K90" s="40" t="n">
        <x:f>VLOOKUP(B90,'员工计算'!$A$5:$H$16,8,FALSE)</x:f>
        <x:v>0</x:v>
      </x:c>
      <x:c r="L90" s="9" t="n">
        <x:f>J90*K90</x:f>
        <x:v>0</x:v>
      </x:c>
      <x:c r="M90" s="42" t="n">
        <x:f>VLOOKUP(G90,'制度参数'!$H$5:$I$7,2,FALSE)</x:f>
        <x:v>2</x:v>
      </x:c>
      <x:c r="N90" s="40" t="n">
        <x:f>VLOOKUP(F90,'制度参数'!$K$5:$L$7,2,FALSE)</x:f>
        <x:v>120</x:v>
      </x:c>
      <x:c r="O90" s="42" t="n">
        <x:f>IF(H90&lt;=N90,'制度参数'!$B$21,IF(H90&lt;=N90*'制度参数'!$B$24,'制度参数'!$B$22,'制度参数'!$B$23))</x:f>
        <x:v>0.8</x:v>
      </x:c>
      <x:c r="P90" s="32" t="n">
        <x:f>L90*M90*O90</x:f>
        <x:v>0</x:v>
      </x:c>
      <x:c r="Q90" s="9" t="n">
        <x:f>L90*I90</x:f>
        <x:v>0</x:v>
      </x:c>
      <x:c r="R90" s="40" t="str">
        <x:f>IF(L90=1,"有效计件",IF(J90=1,"人员无计奖资格",IF(OR(C90&lt;'制度参数'!$B$13,C90&gt;'制度参数'!$B$14),"关闭日期不在本月",IF(D90&lt;&gt;"已关闭","非已关闭","复核非有效"))))</x:f>
        <x:v>人员无计奖资格</x:v>
      </x:c>
    </x:row>
    <x:row r="91" ht="24" customHeight="1">
      <x:c r="A91" s="1" t="str">
        <x:v>T107-006</x:v>
      </x:c>
      <x:c r="B91" s="1" t="str">
        <x:v>CS107</x:v>
      </x:c>
      <x:c r="C91" s="12" t="n">
        <x:v>46282</x:v>
      </x:c>
      <x:c r="D91" s="1" t="str">
        <x:v>已关闭</x:v>
      </x:c>
      <x:c r="E91" s="1" t="str">
        <x:v>有效</x:v>
      </x:c>
      <x:c r="F91" s="1" t="str">
        <x:v>技术</x:v>
      </x:c>
      <x:c r="G91" s="1" t="str">
        <x:v>复杂</x:v>
      </x:c>
      <x:c r="H91" s="14" t="n">
        <x:v>720</x:v>
      </x:c>
      <x:c r="I91" s="1" t="n">
        <x:v>1</x:v>
      </x:c>
      <x:c r="J91" s="39" t="n">
        <x:f>IF(AND(C91&gt;='制度参数'!$B$13,C91&lt;='制度参数'!$B$14,D91="已关闭",E91="有效"),1,0)</x:f>
        <x:v>1</x:v>
      </x:c>
      <x:c r="K91" s="39" t="n">
        <x:f>VLOOKUP(B91,'员工计算'!$A$5:$H$16,8,FALSE)</x:f>
        <x:v>0</x:v>
      </x:c>
      <x:c r="L91" s="1" t="n">
        <x:f>J91*K91</x:f>
        <x:v>0</x:v>
      </x:c>
      <x:c r="M91" s="41" t="n">
        <x:f>VLOOKUP(G91,'制度参数'!$H$5:$I$7,2,FALSE)</x:f>
        <x:v>1.5</x:v>
      </x:c>
      <x:c r="N91" s="39" t="n">
        <x:f>VLOOKUP(F91,'制度参数'!$K$5:$L$7,2,FALSE)</x:f>
        <x:v>240</x:v>
      </x:c>
      <x:c r="O91" s="41" t="n">
        <x:f>IF(H91&lt;=N91,'制度参数'!$B$21,IF(H91&lt;=N91*'制度参数'!$B$24,'制度参数'!$B$22,'制度参数'!$B$23))</x:f>
        <x:v>0.5</x:v>
      </x:c>
      <x:c r="P91" s="31" t="n">
        <x:f>L91*M91*O91</x:f>
        <x:v>0</x:v>
      </x:c>
      <x:c r="Q91" s="1" t="n">
        <x:f>L91*I91</x:f>
        <x:v>0</x:v>
      </x:c>
      <x:c r="R91" s="39" t="str">
        <x:f>IF(L91=1,"有效计件",IF(J91=1,"人员无计奖资格",IF(OR(C91&lt;'制度参数'!$B$13,C91&gt;'制度参数'!$B$14),"关闭日期不在本月",IF(D91&lt;&gt;"已关闭","非已关闭","复核非有效"))))</x:f>
        <x:v>人员无计奖资格</x:v>
      </x:c>
    </x:row>
    <x:row r="92" ht="24" customHeight="1">
      <x:c r="A92" s="9" t="str">
        <x:v>T107-007</x:v>
      </x:c>
      <x:c r="B92" s="9" t="str">
        <x:v>CS107</x:v>
      </x:c>
      <x:c r="C92" s="13" t="n">
        <x:v>46284</x:v>
      </x:c>
      <x:c r="D92" s="9" t="str">
        <x:v>已关闭</x:v>
      </x:c>
      <x:c r="E92" s="9" t="str">
        <x:v>有效</x:v>
      </x:c>
      <x:c r="F92" s="9" t="str">
        <x:v>咨询</x:v>
      </x:c>
      <x:c r="G92" s="9" t="str">
        <x:v>普通</x:v>
      </x:c>
      <x:c r="H92" s="15" t="n">
        <x:v>30</x:v>
      </x:c>
      <x:c r="I92" s="9" t="n">
        <x:v>0</x:v>
      </x:c>
      <x:c r="J92" s="40" t="n">
        <x:f>IF(AND(C92&gt;='制度参数'!$B$13,C92&lt;='制度参数'!$B$14,D92="已关闭",E92="有效"),1,0)</x:f>
        <x:v>1</x:v>
      </x:c>
      <x:c r="K92" s="40" t="n">
        <x:f>VLOOKUP(B92,'员工计算'!$A$5:$H$16,8,FALSE)</x:f>
        <x:v>0</x:v>
      </x:c>
      <x:c r="L92" s="9" t="n">
        <x:f>J92*K92</x:f>
        <x:v>0</x:v>
      </x:c>
      <x:c r="M92" s="42" t="n">
        <x:f>VLOOKUP(G92,'制度参数'!$H$5:$I$7,2,FALSE)</x:f>
        <x:v>1</x:v>
      </x:c>
      <x:c r="N92" s="40" t="n">
        <x:f>VLOOKUP(F92,'制度参数'!$K$5:$L$7,2,FALSE)</x:f>
        <x:v>30</x:v>
      </x:c>
      <x:c r="O92" s="42" t="n">
        <x:f>IF(H92&lt;=N92,'制度参数'!$B$21,IF(H92&lt;=N92*'制度参数'!$B$24,'制度参数'!$B$22,'制度参数'!$B$23))</x:f>
        <x:v>1.1</x:v>
      </x:c>
      <x:c r="P92" s="32" t="n">
        <x:f>L92*M92*O92</x:f>
        <x:v>0</x:v>
      </x:c>
      <x:c r="Q92" s="9" t="n">
        <x:f>L92*I92</x:f>
        <x:v>0</x:v>
      </x:c>
      <x:c r="R92" s="40" t="str">
        <x:f>IF(L92=1,"有效计件",IF(J92=1,"人员无计奖资格",IF(OR(C92&lt;'制度参数'!$B$13,C92&gt;'制度参数'!$B$14),"关闭日期不在本月",IF(D92&lt;&gt;"已关闭","非已关闭","复核非有效"))))</x:f>
        <x:v>人员无计奖资格</x:v>
      </x:c>
    </x:row>
    <x:row r="93" ht="24" customHeight="1">
      <x:c r="A93" s="1" t="str">
        <x:v>T107-008</x:v>
      </x:c>
      <x:c r="B93" s="1" t="str">
        <x:v>CS107</x:v>
      </x:c>
      <x:c r="C93" s="12" t="n">
        <x:v>46286</x:v>
      </x:c>
      <x:c r="D93" s="1" t="str">
        <x:v>已关闭</x:v>
      </x:c>
      <x:c r="E93" s="1" t="str">
        <x:v>有效</x:v>
      </x:c>
      <x:c r="F93" s="1" t="str">
        <x:v>投诉</x:v>
      </x:c>
      <x:c r="G93" s="1" t="str">
        <x:v>紧急</x:v>
      </x:c>
      <x:c r="H93" s="14" t="n">
        <x:v>240</x:v>
      </x:c>
      <x:c r="I93" s="1" t="n">
        <x:v>2</x:v>
      </x:c>
      <x:c r="J93" s="39" t="n">
        <x:f>IF(AND(C93&gt;='制度参数'!$B$13,C93&lt;='制度参数'!$B$14,D93="已关闭",E93="有效"),1,0)</x:f>
        <x:v>1</x:v>
      </x:c>
      <x:c r="K93" s="39" t="n">
        <x:f>VLOOKUP(B93,'员工计算'!$A$5:$H$16,8,FALSE)</x:f>
        <x:v>0</x:v>
      </x:c>
      <x:c r="L93" s="1" t="n">
        <x:f>J93*K93</x:f>
        <x:v>0</x:v>
      </x:c>
      <x:c r="M93" s="41" t="n">
        <x:f>VLOOKUP(G93,'制度参数'!$H$5:$I$7,2,FALSE)</x:f>
        <x:v>2</x:v>
      </x:c>
      <x:c r="N93" s="39" t="n">
        <x:f>VLOOKUP(F93,'制度参数'!$K$5:$L$7,2,FALSE)</x:f>
        <x:v>120</x:v>
      </x:c>
      <x:c r="O93" s="41" t="n">
        <x:f>IF(H93&lt;=N93,'制度参数'!$B$21,IF(H93&lt;=N93*'制度参数'!$B$24,'制度参数'!$B$22,'制度参数'!$B$23))</x:f>
        <x:v>0.8</x:v>
      </x:c>
      <x:c r="P93" s="31" t="n">
        <x:f>L93*M93*O93</x:f>
        <x:v>0</x:v>
      </x:c>
      <x:c r="Q93" s="1" t="n">
        <x:f>L93*I93</x:f>
        <x:v>0</x:v>
      </x:c>
      <x:c r="R93" s="39" t="str">
        <x:f>IF(L93=1,"有效计件",IF(J93=1,"人员无计奖资格",IF(OR(C93&lt;'制度参数'!$B$13,C93&gt;'制度参数'!$B$14),"关闭日期不在本月",IF(D93&lt;&gt;"已关闭","非已关闭","复核非有效"))))</x:f>
        <x:v>人员无计奖资格</x:v>
      </x:c>
    </x:row>
    <x:row r="94" ht="24" customHeight="1">
      <x:c r="A94" s="9" t="str">
        <x:v>T107-009</x:v>
      </x:c>
      <x:c r="B94" s="9" t="str">
        <x:v>CS107</x:v>
      </x:c>
      <x:c r="C94" s="13" t="n">
        <x:v>46288</x:v>
      </x:c>
      <x:c r="D94" s="9" t="str">
        <x:v>已关闭</x:v>
      </x:c>
      <x:c r="E94" s="9" t="str">
        <x:v>有效</x:v>
      </x:c>
      <x:c r="F94" s="9" t="str">
        <x:v>技术</x:v>
      </x:c>
      <x:c r="G94" s="9" t="str">
        <x:v>复杂</x:v>
      </x:c>
      <x:c r="H94" s="15" t="n">
        <x:v>482.4</x:v>
      </x:c>
      <x:c r="I94" s="9" t="n">
        <x:v>0</x:v>
      </x:c>
      <x:c r="J94" s="40" t="n">
        <x:f>IF(AND(C94&gt;='制度参数'!$B$13,C94&lt;='制度参数'!$B$14,D94="已关闭",E94="有效"),1,0)</x:f>
        <x:v>1</x:v>
      </x:c>
      <x:c r="K94" s="40" t="n">
        <x:f>VLOOKUP(B94,'员工计算'!$A$5:$H$16,8,FALSE)</x:f>
        <x:v>0</x:v>
      </x:c>
      <x:c r="L94" s="9" t="n">
        <x:f>J94*K94</x:f>
        <x:v>0</x:v>
      </x:c>
      <x:c r="M94" s="42" t="n">
        <x:f>VLOOKUP(G94,'制度参数'!$H$5:$I$7,2,FALSE)</x:f>
        <x:v>1.5</x:v>
      </x:c>
      <x:c r="N94" s="40" t="n">
        <x:f>VLOOKUP(F94,'制度参数'!$K$5:$L$7,2,FALSE)</x:f>
        <x:v>240</x:v>
      </x:c>
      <x:c r="O94" s="42" t="n">
        <x:f>IF(H94&lt;=N94,'制度参数'!$B$21,IF(H94&lt;=N94*'制度参数'!$B$24,'制度参数'!$B$22,'制度参数'!$B$23))</x:f>
        <x:v>0.5</x:v>
      </x:c>
      <x:c r="P94" s="32" t="n">
        <x:f>L94*M94*O94</x:f>
        <x:v>0</x:v>
      </x:c>
      <x:c r="Q94" s="9" t="n">
        <x:f>L94*I94</x:f>
        <x:v>0</x:v>
      </x:c>
      <x:c r="R94" s="40" t="str">
        <x:f>IF(L94=1,"有效计件",IF(J94=1,"人员无计奖资格",IF(OR(C94&lt;'制度参数'!$B$13,C94&gt;'制度参数'!$B$14),"关闭日期不在本月",IF(D94&lt;&gt;"已关闭","非已关闭","复核非有效"))))</x:f>
        <x:v>人员无计奖资格</x:v>
      </x:c>
    </x:row>
    <x:row r="95" ht="24" customHeight="1">
      <x:c r="A95" s="1" t="str">
        <x:v>T107-010</x:v>
      </x:c>
      <x:c r="B95" s="1" t="str">
        <x:v>CS107</x:v>
      </x:c>
      <x:c r="C95" s="12" t="n">
        <x:v>46290</x:v>
      </x:c>
      <x:c r="D95" s="1" t="str">
        <x:v>已关闭</x:v>
      </x:c>
      <x:c r="E95" s="1" t="str">
        <x:v>有效</x:v>
      </x:c>
      <x:c r="F95" s="1" t="str">
        <x:v>咨询</x:v>
      </x:c>
      <x:c r="G95" s="1" t="str">
        <x:v>普通</x:v>
      </x:c>
      <x:c r="H95" s="14" t="n">
        <x:v>24</x:v>
      </x:c>
      <x:c r="I95" s="1" t="n">
        <x:v>0</x:v>
      </x:c>
      <x:c r="J95" s="39" t="n">
        <x:f>IF(AND(C95&gt;='制度参数'!$B$13,C95&lt;='制度参数'!$B$14,D95="已关闭",E95="有效"),1,0)</x:f>
        <x:v>1</x:v>
      </x:c>
      <x:c r="K95" s="39" t="n">
        <x:f>VLOOKUP(B95,'员工计算'!$A$5:$H$16,8,FALSE)</x:f>
        <x:v>0</x:v>
      </x:c>
      <x:c r="L95" s="1" t="n">
        <x:f>J95*K95</x:f>
        <x:v>0</x:v>
      </x:c>
      <x:c r="M95" s="41" t="n">
        <x:f>VLOOKUP(G95,'制度参数'!$H$5:$I$7,2,FALSE)</x:f>
        <x:v>1</x:v>
      </x:c>
      <x:c r="N95" s="39" t="n">
        <x:f>VLOOKUP(F95,'制度参数'!$K$5:$L$7,2,FALSE)</x:f>
        <x:v>30</x:v>
      </x:c>
      <x:c r="O95" s="41" t="n">
        <x:f>IF(H95&lt;=N95,'制度参数'!$B$21,IF(H95&lt;=N95*'制度参数'!$B$24,'制度参数'!$B$22,'制度参数'!$B$23))</x:f>
        <x:v>1.1</x:v>
      </x:c>
      <x:c r="P95" s="31" t="n">
        <x:f>L95*M95*O95</x:f>
        <x:v>0</x:v>
      </x:c>
      <x:c r="Q95" s="1" t="n">
        <x:f>L95*I95</x:f>
        <x:v>0</x:v>
      </x:c>
      <x:c r="R95" s="39" t="str">
        <x:f>IF(L95=1,"有效计件",IF(J95=1,"人员无计奖资格",IF(OR(C95&lt;'制度参数'!$B$13,C95&gt;'制度参数'!$B$14),"关闭日期不在本月",IF(D95&lt;&gt;"已关闭","非已关闭","复核非有效"))))</x:f>
        <x:v>人员无计奖资格</x:v>
      </x:c>
    </x:row>
    <x:row r="96" ht="24" customHeight="1">
      <x:c r="A96" s="9" t="str">
        <x:v>T107-011</x:v>
      </x:c>
      <x:c r="B96" s="9" t="str">
        <x:v>CS107</x:v>
      </x:c>
      <x:c r="C96" s="13" t="n">
        <x:v>46292</x:v>
      </x:c>
      <x:c r="D96" s="9" t="str">
        <x:v>已关闭</x:v>
      </x:c>
      <x:c r="E96" s="9" t="str">
        <x:v>有效</x:v>
      </x:c>
      <x:c r="F96" s="9" t="str">
        <x:v>投诉</x:v>
      </x:c>
      <x:c r="G96" s="9" t="str">
        <x:v>紧急</x:v>
      </x:c>
      <x:c r="H96" s="15" t="n">
        <x:v>180</x:v>
      </x:c>
      <x:c r="I96" s="9" t="n">
        <x:v>1</x:v>
      </x:c>
      <x:c r="J96" s="40" t="n">
        <x:f>IF(AND(C96&gt;='制度参数'!$B$13,C96&lt;='制度参数'!$B$14,D96="已关闭",E96="有效"),1,0)</x:f>
        <x:v>1</x:v>
      </x:c>
      <x:c r="K96" s="40" t="n">
        <x:f>VLOOKUP(B96,'员工计算'!$A$5:$H$16,8,FALSE)</x:f>
        <x:v>0</x:v>
      </x:c>
      <x:c r="L96" s="9" t="n">
        <x:f>J96*K96</x:f>
        <x:v>0</x:v>
      </x:c>
      <x:c r="M96" s="42" t="n">
        <x:f>VLOOKUP(G96,'制度参数'!$H$5:$I$7,2,FALSE)</x:f>
        <x:v>2</x:v>
      </x:c>
      <x:c r="N96" s="40" t="n">
        <x:f>VLOOKUP(F96,'制度参数'!$K$5:$L$7,2,FALSE)</x:f>
        <x:v>120</x:v>
      </x:c>
      <x:c r="O96" s="42" t="n">
        <x:f>IF(H96&lt;=N96,'制度参数'!$B$21,IF(H96&lt;=N96*'制度参数'!$B$24,'制度参数'!$B$22,'制度参数'!$B$23))</x:f>
        <x:v>0.8</x:v>
      </x:c>
      <x:c r="P96" s="32" t="n">
        <x:f>L96*M96*O96</x:f>
        <x:v>0</x:v>
      </x:c>
      <x:c r="Q96" s="9" t="n">
        <x:f>L96*I96</x:f>
        <x:v>0</x:v>
      </x:c>
      <x:c r="R96" s="40" t="str">
        <x:f>IF(L96=1,"有效计件",IF(J96=1,"人员无计奖资格",IF(OR(C96&lt;'制度参数'!$B$13,C96&gt;'制度参数'!$B$14),"关闭日期不在本月",IF(D96&lt;&gt;"已关闭","非已关闭","复核非有效"))))</x:f>
        <x:v>人员无计奖资格</x:v>
      </x:c>
    </x:row>
    <x:row r="97" ht="24" customHeight="1">
      <x:c r="A97" s="1" t="str">
        <x:v>T107-012</x:v>
      </x:c>
      <x:c r="B97" s="1" t="str">
        <x:v>CS107</x:v>
      </x:c>
      <x:c r="C97" s="12" t="n">
        <x:v>46294</x:v>
      </x:c>
      <x:c r="D97" s="1" t="str">
        <x:v>已关闭</x:v>
      </x:c>
      <x:c r="E97" s="1" t="str">
        <x:v>有效</x:v>
      </x:c>
      <x:c r="F97" s="1" t="str">
        <x:v>技术</x:v>
      </x:c>
      <x:c r="G97" s="1" t="str">
        <x:v>复杂</x:v>
      </x:c>
      <x:c r="H97" s="14" t="n">
        <x:v>720</x:v>
      </x:c>
      <x:c r="I97" s="1" t="n">
        <x:v>0</x:v>
      </x:c>
      <x:c r="J97" s="39" t="n">
        <x:f>IF(AND(C97&gt;='制度参数'!$B$13,C97&lt;='制度参数'!$B$14,D97="已关闭",E97="有效"),1,0)</x:f>
        <x:v>1</x:v>
      </x:c>
      <x:c r="K97" s="39" t="n">
        <x:f>VLOOKUP(B97,'员工计算'!$A$5:$H$16,8,FALSE)</x:f>
        <x:v>0</x:v>
      </x:c>
      <x:c r="L97" s="1" t="n">
        <x:f>J97*K97</x:f>
        <x:v>0</x:v>
      </x:c>
      <x:c r="M97" s="41" t="n">
        <x:f>VLOOKUP(G97,'制度参数'!$H$5:$I$7,2,FALSE)</x:f>
        <x:v>1.5</x:v>
      </x:c>
      <x:c r="N97" s="39" t="n">
        <x:f>VLOOKUP(F97,'制度参数'!$K$5:$L$7,2,FALSE)</x:f>
        <x:v>240</x:v>
      </x:c>
      <x:c r="O97" s="41" t="n">
        <x:f>IF(H97&lt;=N97,'制度参数'!$B$21,IF(H97&lt;=N97*'制度参数'!$B$24,'制度参数'!$B$22,'制度参数'!$B$23))</x:f>
        <x:v>0.5</x:v>
      </x:c>
      <x:c r="P97" s="31" t="n">
        <x:f>L97*M97*O97</x:f>
        <x:v>0</x:v>
      </x:c>
      <x:c r="Q97" s="1" t="n">
        <x:f>L97*I97</x:f>
        <x:v>0</x:v>
      </x:c>
      <x:c r="R97" s="39" t="str">
        <x:f>IF(L97=1,"有效计件",IF(J97=1,"人员无计奖资格",IF(OR(C97&lt;'制度参数'!$B$13,C97&gt;'制度参数'!$B$14),"关闭日期不在本月",IF(D97&lt;&gt;"已关闭","非已关闭","复核非有效"))))</x:f>
        <x:v>人员无计奖资格</x:v>
      </x:c>
    </x:row>
    <x:row r="98" ht="24" customHeight="1">
      <x:c r="A98" s="9" t="str">
        <x:v>T107-013</x:v>
      </x:c>
      <x:c r="B98" s="9" t="str">
        <x:v>CS107</x:v>
      </x:c>
      <x:c r="C98" s="13" t="n">
        <x:v>46266</x:v>
      </x:c>
      <x:c r="D98" s="9" t="str">
        <x:v>处理中</x:v>
      </x:c>
      <x:c r="E98" s="9" t="str">
        <x:v>有效</x:v>
      </x:c>
      <x:c r="F98" s="9" t="str">
        <x:v>咨询</x:v>
      </x:c>
      <x:c r="G98" s="9" t="str">
        <x:v>普通</x:v>
      </x:c>
      <x:c r="H98" s="15" t="n">
        <x:v>30</x:v>
      </x:c>
      <x:c r="I98" s="9" t="n">
        <x:v>2</x:v>
      </x:c>
      <x:c r="J98" s="40" t="n">
        <x:f>IF(AND(C98&gt;='制度参数'!$B$13,C98&lt;='制度参数'!$B$14,D98="已关闭",E98="有效"),1,0)</x:f>
        <x:v>0</x:v>
      </x:c>
      <x:c r="K98" s="40" t="n">
        <x:f>VLOOKUP(B98,'员工计算'!$A$5:$H$16,8,FALSE)</x:f>
        <x:v>0</x:v>
      </x:c>
      <x:c r="L98" s="9" t="n">
        <x:f>J98*K98</x:f>
        <x:v>0</x:v>
      </x:c>
      <x:c r="M98" s="42" t="n">
        <x:f>VLOOKUP(G98,'制度参数'!$H$5:$I$7,2,FALSE)</x:f>
        <x:v>1</x:v>
      </x:c>
      <x:c r="N98" s="40" t="n">
        <x:f>VLOOKUP(F98,'制度参数'!$K$5:$L$7,2,FALSE)</x:f>
        <x:v>30</x:v>
      </x:c>
      <x:c r="O98" s="42" t="n">
        <x:f>IF(H98&lt;=N98,'制度参数'!$B$21,IF(H98&lt;=N98*'制度参数'!$B$24,'制度参数'!$B$22,'制度参数'!$B$23))</x:f>
        <x:v>1.1</x:v>
      </x:c>
      <x:c r="P98" s="32" t="n">
        <x:f>L98*M98*O98</x:f>
        <x:v>0</x:v>
      </x:c>
      <x:c r="Q98" s="9" t="n">
        <x:f>L98*I98</x:f>
        <x:v>0</x:v>
      </x:c>
      <x:c r="R98" s="40" t="str">
        <x:f>IF(L98=1,"有效计件",IF(J98=1,"人员无计奖资格",IF(OR(C98&lt;'制度参数'!$B$13,C98&gt;'制度参数'!$B$14),"关闭日期不在本月",IF(D98&lt;&gt;"已关闭","非已关闭","复核非有效"))))</x:f>
        <x:v>非已关闭</x:v>
      </x:c>
    </x:row>
    <x:row r="99" ht="24" customHeight="1">
      <x:c r="A99" s="1" t="str">
        <x:v>T107-014</x:v>
      </x:c>
      <x:c r="B99" s="1" t="str">
        <x:v>CS107</x:v>
      </x:c>
      <x:c r="C99" s="12" t="n">
        <x:v>46268</x:v>
      </x:c>
      <x:c r="D99" s="1" t="str">
        <x:v>已作废</x:v>
      </x:c>
      <x:c r="E99" s="1" t="str">
        <x:v>有效</x:v>
      </x:c>
      <x:c r="F99" s="1" t="str">
        <x:v>投诉</x:v>
      </x:c>
      <x:c r="G99" s="1" t="str">
        <x:v>紧急</x:v>
      </x:c>
      <x:c r="H99" s="14" t="n">
        <x:v>240</x:v>
      </x:c>
      <x:c r="I99" s="1" t="n">
        <x:v>0</x:v>
      </x:c>
      <x:c r="J99" s="39" t="n">
        <x:f>IF(AND(C99&gt;='制度参数'!$B$13,C99&lt;='制度参数'!$B$14,D99="已关闭",E99="有效"),1,0)</x:f>
        <x:v>0</x:v>
      </x:c>
      <x:c r="K99" s="39" t="n">
        <x:f>VLOOKUP(B99,'员工计算'!$A$5:$H$16,8,FALSE)</x:f>
        <x:v>0</x:v>
      </x:c>
      <x:c r="L99" s="1" t="n">
        <x:f>J99*K99</x:f>
        <x:v>0</x:v>
      </x:c>
      <x:c r="M99" s="41" t="n">
        <x:f>VLOOKUP(G99,'制度参数'!$H$5:$I$7,2,FALSE)</x:f>
        <x:v>2</x:v>
      </x:c>
      <x:c r="N99" s="39" t="n">
        <x:f>VLOOKUP(F99,'制度参数'!$K$5:$L$7,2,FALSE)</x:f>
        <x:v>120</x:v>
      </x:c>
      <x:c r="O99" s="41" t="n">
        <x:f>IF(H99&lt;=N99,'制度参数'!$B$21,IF(H99&lt;=N99*'制度参数'!$B$24,'制度参数'!$B$22,'制度参数'!$B$23))</x:f>
        <x:v>0.8</x:v>
      </x:c>
      <x:c r="P99" s="31" t="n">
        <x:f>L99*M99*O99</x:f>
        <x:v>0</x:v>
      </x:c>
      <x:c r="Q99" s="1" t="n">
        <x:f>L99*I99</x:f>
        <x:v>0</x:v>
      </x:c>
      <x:c r="R99" s="39" t="str">
        <x:f>IF(L99=1,"有效计件",IF(J99=1,"人员无计奖资格",IF(OR(C99&lt;'制度参数'!$B$13,C99&gt;'制度参数'!$B$14),"关闭日期不在本月",IF(D99&lt;&gt;"已关闭","非已关闭","复核非有效"))))</x:f>
        <x:v>非已关闭</x:v>
      </x:c>
    </x:row>
    <x:row r="100" ht="24" customHeight="1">
      <x:c r="A100" s="9" t="str">
        <x:v>T107-015</x:v>
      </x:c>
      <x:c r="B100" s="9" t="str">
        <x:v>CS107</x:v>
      </x:c>
      <x:c r="C100" s="13" t="n">
        <x:v>46265</x:v>
      </x:c>
      <x:c r="D100" s="9" t="str">
        <x:v>已关闭</x:v>
      </x:c>
      <x:c r="E100" s="9" t="str">
        <x:v>有效</x:v>
      </x:c>
      <x:c r="F100" s="9" t="str">
        <x:v>技术</x:v>
      </x:c>
      <x:c r="G100" s="9" t="str">
        <x:v>复杂</x:v>
      </x:c>
      <x:c r="H100" s="15" t="n">
        <x:v>482.4</x:v>
      </x:c>
      <x:c r="I100" s="9" t="n">
        <x:v>0</x:v>
      </x:c>
      <x:c r="J100" s="40" t="n">
        <x:f>IF(AND(C100&gt;='制度参数'!$B$13,C100&lt;='制度参数'!$B$14,D100="已关闭",E100="有效"),1,0)</x:f>
        <x:v>0</x:v>
      </x:c>
      <x:c r="K100" s="40" t="n">
        <x:f>VLOOKUP(B100,'员工计算'!$A$5:$H$16,8,FALSE)</x:f>
        <x:v>0</x:v>
      </x:c>
      <x:c r="L100" s="9" t="n">
        <x:f>J100*K100</x:f>
        <x:v>0</x:v>
      </x:c>
      <x:c r="M100" s="42" t="n">
        <x:f>VLOOKUP(G100,'制度参数'!$H$5:$I$7,2,FALSE)</x:f>
        <x:v>1.5</x:v>
      </x:c>
      <x:c r="N100" s="40" t="n">
        <x:f>VLOOKUP(F100,'制度参数'!$K$5:$L$7,2,FALSE)</x:f>
        <x:v>240</x:v>
      </x:c>
      <x:c r="O100" s="42" t="n">
        <x:f>IF(H100&lt;=N100,'制度参数'!$B$21,IF(H100&lt;=N100*'制度参数'!$B$24,'制度参数'!$B$22,'制度参数'!$B$23))</x:f>
        <x:v>0.5</x:v>
      </x:c>
      <x:c r="P100" s="32" t="n">
        <x:f>L100*M100*O100</x:f>
        <x:v>0</x:v>
      </x:c>
      <x:c r="Q100" s="9" t="n">
        <x:f>L100*I100</x:f>
        <x:v>0</x:v>
      </x:c>
      <x:c r="R100" s="40" t="str">
        <x:f>IF(L100=1,"有效计件",IF(J100=1,"人员无计奖资格",IF(OR(C100&lt;'制度参数'!$B$13,C100&gt;'制度参数'!$B$14),"关闭日期不在本月",IF(D100&lt;&gt;"已关闭","非已关闭","复核非有效"))))</x:f>
        <x:v>关闭日期不在本月</x:v>
      </x:c>
    </x:row>
    <x:row r="101" ht="24" customHeight="1">
      <x:c r="A101" s="1" t="str">
        <x:v>T107-016</x:v>
      </x:c>
      <x:c r="B101" s="1" t="str">
        <x:v>CS107</x:v>
      </x:c>
      <x:c r="C101" s="12" t="n">
        <x:v>46296</x:v>
      </x:c>
      <x:c r="D101" s="1" t="str">
        <x:v>已关闭</x:v>
      </x:c>
      <x:c r="E101" s="1" t="str">
        <x:v>有效</x:v>
      </x:c>
      <x:c r="F101" s="1" t="str">
        <x:v>咨询</x:v>
      </x:c>
      <x:c r="G101" s="1" t="str">
        <x:v>普通</x:v>
      </x:c>
      <x:c r="H101" s="14" t="n">
        <x:v>24</x:v>
      </x:c>
      <x:c r="I101" s="1" t="n">
        <x:v>1</x:v>
      </x:c>
      <x:c r="J101" s="39" t="n">
        <x:f>IF(AND(C101&gt;='制度参数'!$B$13,C101&lt;='制度参数'!$B$14,D101="已关闭",E101="有效"),1,0)</x:f>
        <x:v>0</x:v>
      </x:c>
      <x:c r="K101" s="39" t="n">
        <x:f>VLOOKUP(B101,'员工计算'!$A$5:$H$16,8,FALSE)</x:f>
        <x:v>0</x:v>
      </x:c>
      <x:c r="L101" s="1" t="n">
        <x:f>J101*K101</x:f>
        <x:v>0</x:v>
      </x:c>
      <x:c r="M101" s="41" t="n">
        <x:f>VLOOKUP(G101,'制度参数'!$H$5:$I$7,2,FALSE)</x:f>
        <x:v>1</x:v>
      </x:c>
      <x:c r="N101" s="39" t="n">
        <x:f>VLOOKUP(F101,'制度参数'!$K$5:$L$7,2,FALSE)</x:f>
        <x:v>30</x:v>
      </x:c>
      <x:c r="O101" s="41" t="n">
        <x:f>IF(H101&lt;=N101,'制度参数'!$B$21,IF(H101&lt;=N101*'制度参数'!$B$24,'制度参数'!$B$22,'制度参数'!$B$23))</x:f>
        <x:v>1.1</x:v>
      </x:c>
      <x:c r="P101" s="31" t="n">
        <x:f>L101*M101*O101</x:f>
        <x:v>0</x:v>
      </x:c>
      <x:c r="Q101" s="1" t="n">
        <x:f>L101*I101</x:f>
        <x:v>0</x:v>
      </x:c>
      <x:c r="R101" s="39" t="str">
        <x:f>IF(L101=1,"有效计件",IF(J101=1,"人员无计奖资格",IF(OR(C101&lt;'制度参数'!$B$13,C101&gt;'制度参数'!$B$14),"关闭日期不在本月",IF(D101&lt;&gt;"已关闭","非已关闭","复核非有效"))))</x:f>
        <x:v>关闭日期不在本月</x:v>
      </x:c>
    </x:row>
    <x:row r="102" ht="24" customHeight="1">
      <x:c r="A102" s="9" t="str">
        <x:v>T107-017</x:v>
      </x:c>
      <x:c r="B102" s="9" t="str">
        <x:v>CS107</x:v>
      </x:c>
      <x:c r="C102" s="13" t="n">
        <x:v>46274</x:v>
      </x:c>
      <x:c r="D102" s="9" t="str">
        <x:v>已关闭</x:v>
      </x:c>
      <x:c r="E102" s="9" t="str">
        <x:v>待确认</x:v>
      </x:c>
      <x:c r="F102" s="9" t="str">
        <x:v>投诉</x:v>
      </x:c>
      <x:c r="G102" s="9" t="str">
        <x:v>紧急</x:v>
      </x:c>
      <x:c r="H102" s="15" t="n">
        <x:v>180</x:v>
      </x:c>
      <x:c r="I102" s="9" t="n">
        <x:v>0</x:v>
      </x:c>
      <x:c r="J102" s="40" t="n">
        <x:f>IF(AND(C102&gt;='制度参数'!$B$13,C102&lt;='制度参数'!$B$14,D102="已关闭",E102="有效"),1,0)</x:f>
        <x:v>0</x:v>
      </x:c>
      <x:c r="K102" s="40" t="n">
        <x:f>VLOOKUP(B102,'员工计算'!$A$5:$H$16,8,FALSE)</x:f>
        <x:v>0</x:v>
      </x:c>
      <x:c r="L102" s="9" t="n">
        <x:f>J102*K102</x:f>
        <x:v>0</x:v>
      </x:c>
      <x:c r="M102" s="42" t="n">
        <x:f>VLOOKUP(G102,'制度参数'!$H$5:$I$7,2,FALSE)</x:f>
        <x:v>2</x:v>
      </x:c>
      <x:c r="N102" s="40" t="n">
        <x:f>VLOOKUP(F102,'制度参数'!$K$5:$L$7,2,FALSE)</x:f>
        <x:v>120</x:v>
      </x:c>
      <x:c r="O102" s="42" t="n">
        <x:f>IF(H102&lt;=N102,'制度参数'!$B$21,IF(H102&lt;=N102*'制度参数'!$B$24,'制度参数'!$B$22,'制度参数'!$B$23))</x:f>
        <x:v>0.8</x:v>
      </x:c>
      <x:c r="P102" s="32" t="n">
        <x:f>L102*M102*O102</x:f>
        <x:v>0</x:v>
      </x:c>
      <x:c r="Q102" s="9" t="n">
        <x:f>L102*I102</x:f>
        <x:v>0</x:v>
      </x:c>
      <x:c r="R102" s="40" t="str">
        <x:f>IF(L102=1,"有效计件",IF(J102=1,"人员无计奖资格",IF(OR(C102&lt;'制度参数'!$B$13,C102&gt;'制度参数'!$B$14),"关闭日期不在本月",IF(D102&lt;&gt;"已关闭","非已关闭","复核非有效"))))</x:f>
        <x:v>复核非有效</x:v>
      </x:c>
    </x:row>
    <x:row r="103" ht="24" customHeight="1">
      <x:c r="A103" s="1" t="str">
        <x:v>T107-018</x:v>
      </x:c>
      <x:c r="B103" s="1" t="str">
        <x:v>CS107</x:v>
      </x:c>
      <x:c r="C103" s="12" t="n">
        <x:v>46276</x:v>
      </x:c>
      <x:c r="D103" s="1" t="str">
        <x:v>已关闭</x:v>
      </x:c>
      <x:c r="E103" s="1" t="str">
        <x:v>无效</x:v>
      </x:c>
      <x:c r="F103" s="1" t="str">
        <x:v>技术</x:v>
      </x:c>
      <x:c r="G103" s="1" t="str">
        <x:v>复杂</x:v>
      </x:c>
      <x:c r="H103" s="14" t="n">
        <x:v>720</x:v>
      </x:c>
      <x:c r="I103" s="1" t="n">
        <x:v>2</x:v>
      </x:c>
      <x:c r="J103" s="39" t="n">
        <x:f>IF(AND(C103&gt;='制度参数'!$B$13,C103&lt;='制度参数'!$B$14,D103="已关闭",E103="有效"),1,0)</x:f>
        <x:v>0</x:v>
      </x:c>
      <x:c r="K103" s="39" t="n">
        <x:f>VLOOKUP(B103,'员工计算'!$A$5:$H$16,8,FALSE)</x:f>
        <x:v>0</x:v>
      </x:c>
      <x:c r="L103" s="1" t="n">
        <x:f>J103*K103</x:f>
        <x:v>0</x:v>
      </x:c>
      <x:c r="M103" s="41" t="n">
        <x:f>VLOOKUP(G103,'制度参数'!$H$5:$I$7,2,FALSE)</x:f>
        <x:v>1.5</x:v>
      </x:c>
      <x:c r="N103" s="39" t="n">
        <x:f>VLOOKUP(F103,'制度参数'!$K$5:$L$7,2,FALSE)</x:f>
        <x:v>240</x:v>
      </x:c>
      <x:c r="O103" s="41" t="n">
        <x:f>IF(H103&lt;=N103,'制度参数'!$B$21,IF(H103&lt;=N103*'制度参数'!$B$24,'制度参数'!$B$22,'制度参数'!$B$23))</x:f>
        <x:v>0.5</x:v>
      </x:c>
      <x:c r="P103" s="31" t="n">
        <x:f>L103*M103*O103</x:f>
        <x:v>0</x:v>
      </x:c>
      <x:c r="Q103" s="1" t="n">
        <x:f>L103*I103</x:f>
        <x:v>0</x:v>
      </x:c>
      <x:c r="R103" s="39" t="str">
        <x:f>IF(L103=1,"有效计件",IF(J103=1,"人员无计奖资格",IF(OR(C103&lt;'制度参数'!$B$13,C103&gt;'制度参数'!$B$14),"关闭日期不在本月",IF(D103&lt;&gt;"已关闭","非已关闭","复核非有效"))))</x:f>
        <x:v>复核非有效</x:v>
      </x:c>
    </x:row>
    <x:row r="104" ht="24" customHeight="1">
      <x:c r="A104" s="9" t="str">
        <x:v>T108-001</x:v>
      </x:c>
      <x:c r="B104" s="9" t="str">
        <x:v>CS108</x:v>
      </x:c>
      <x:c r="C104" s="13" t="n">
        <x:v>46273</x:v>
      </x:c>
      <x:c r="D104" s="9" t="str">
        <x:v>已关闭</x:v>
      </x:c>
      <x:c r="E104" s="9" t="str">
        <x:v>有效</x:v>
      </x:c>
      <x:c r="F104" s="9" t="str">
        <x:v>投诉</x:v>
      </x:c>
      <x:c r="G104" s="9" t="str">
        <x:v>复杂</x:v>
      </x:c>
      <x:c r="H104" s="15" t="n">
        <x:v>240</x:v>
      </x:c>
      <x:c r="I104" s="9" t="n">
        <x:v>0</x:v>
      </x:c>
      <x:c r="J104" s="40" t="n">
        <x:f>IF(AND(C104&gt;='制度参数'!$B$13,C104&lt;='制度参数'!$B$14,D104="已关闭",E104="有效"),1,0)</x:f>
        <x:v>1</x:v>
      </x:c>
      <x:c r="K104" s="40" t="n">
        <x:f>VLOOKUP(B104,'员工计算'!$A$5:$H$16,8,FALSE)</x:f>
        <x:v>1</x:v>
      </x:c>
      <x:c r="L104" s="9" t="n">
        <x:f>J104*K104</x:f>
        <x:v>1</x:v>
      </x:c>
      <x:c r="M104" s="42" t="n">
        <x:f>VLOOKUP(G104,'制度参数'!$H$5:$I$7,2,FALSE)</x:f>
        <x:v>1.5</x:v>
      </x:c>
      <x:c r="N104" s="40" t="n">
        <x:f>VLOOKUP(F104,'制度参数'!$K$5:$L$7,2,FALSE)</x:f>
        <x:v>120</x:v>
      </x:c>
      <x:c r="O104" s="42" t="n">
        <x:f>IF(H104&lt;=N104,'制度参数'!$B$21,IF(H104&lt;=N104*'制度参数'!$B$24,'制度参数'!$B$22,'制度参数'!$B$23))</x:f>
        <x:v>0.8</x:v>
      </x:c>
      <x:c r="P104" s="32" t="n">
        <x:f>L104*M104*O104</x:f>
        <x:v>1.2000000000000002</x:v>
      </x:c>
      <x:c r="Q104" s="9" t="n">
        <x:f>L104*I104</x:f>
        <x:v>0</x:v>
      </x:c>
      <x:c r="R104" s="40" t="str">
        <x:f>IF(L104=1,"有效计件",IF(J104=1,"人员无计奖资格",IF(OR(C104&lt;'制度参数'!$B$13,C104&gt;'制度参数'!$B$14),"关闭日期不在本月",IF(D104&lt;&gt;"已关闭","非已关闭","复核非有效"))))</x:f>
        <x:v>有效计件</x:v>
      </x:c>
    </x:row>
    <x:row r="105" ht="24" customHeight="1">
      <x:c r="A105" s="1" t="str">
        <x:v>T108-002</x:v>
      </x:c>
      <x:c r="B105" s="1" t="str">
        <x:v>CS108</x:v>
      </x:c>
      <x:c r="C105" s="12" t="n">
        <x:v>46275</x:v>
      </x:c>
      <x:c r="D105" s="1" t="str">
        <x:v>已关闭</x:v>
      </x:c>
      <x:c r="E105" s="1" t="str">
        <x:v>有效</x:v>
      </x:c>
      <x:c r="F105" s="1" t="str">
        <x:v>技术</x:v>
      </x:c>
      <x:c r="G105" s="1" t="str">
        <x:v>普通</x:v>
      </x:c>
      <x:c r="H105" s="14" t="n">
        <x:v>482.4</x:v>
      </x:c>
      <x:c r="I105" s="1" t="n">
        <x:v>2</x:v>
      </x:c>
      <x:c r="J105" s="39" t="n">
        <x:f>IF(AND(C105&gt;='制度参数'!$B$13,C105&lt;='制度参数'!$B$14,D105="已关闭",E105="有效"),1,0)</x:f>
        <x:v>1</x:v>
      </x:c>
      <x:c r="K105" s="39" t="n">
        <x:f>VLOOKUP(B105,'员工计算'!$A$5:$H$16,8,FALSE)</x:f>
        <x:v>1</x:v>
      </x:c>
      <x:c r="L105" s="1" t="n">
        <x:f>J105*K105</x:f>
        <x:v>1</x:v>
      </x:c>
      <x:c r="M105" s="41" t="n">
        <x:f>VLOOKUP(G105,'制度参数'!$H$5:$I$7,2,FALSE)</x:f>
        <x:v>1</x:v>
      </x:c>
      <x:c r="N105" s="39" t="n">
        <x:f>VLOOKUP(F105,'制度参数'!$K$5:$L$7,2,FALSE)</x:f>
        <x:v>240</x:v>
      </x:c>
      <x:c r="O105" s="41" t="n">
        <x:f>IF(H105&lt;=N105,'制度参数'!$B$21,IF(H105&lt;=N105*'制度参数'!$B$24,'制度参数'!$B$22,'制度参数'!$B$23))</x:f>
        <x:v>0.5</x:v>
      </x:c>
      <x:c r="P105" s="31" t="n">
        <x:f>L105*M105*O105</x:f>
        <x:v>0.5</x:v>
      </x:c>
      <x:c r="Q105" s="1" t="n">
        <x:f>L105*I105</x:f>
        <x:v>2</x:v>
      </x:c>
      <x:c r="R105" s="39" t="str">
        <x:f>IF(L105=1,"有效计件",IF(J105=1,"人员无计奖资格",IF(OR(C105&lt;'制度参数'!$B$13,C105&gt;'制度参数'!$B$14),"关闭日期不在本月",IF(D105&lt;&gt;"已关闭","非已关闭","复核非有效"))))</x:f>
        <x:v>有效计件</x:v>
      </x:c>
    </x:row>
    <x:row r="106" ht="24" customHeight="1">
      <x:c r="A106" s="9" t="str">
        <x:v>T108-003</x:v>
      </x:c>
      <x:c r="B106" s="9" t="str">
        <x:v>CS108</x:v>
      </x:c>
      <x:c r="C106" s="13" t="n">
        <x:v>46277</x:v>
      </x:c>
      <x:c r="D106" s="9" t="str">
        <x:v>已关闭</x:v>
      </x:c>
      <x:c r="E106" s="9" t="str">
        <x:v>有效</x:v>
      </x:c>
      <x:c r="F106" s="9" t="str">
        <x:v>咨询</x:v>
      </x:c>
      <x:c r="G106" s="9" t="str">
        <x:v>紧急</x:v>
      </x:c>
      <x:c r="H106" s="15" t="n">
        <x:v>24</x:v>
      </x:c>
      <x:c r="I106" s="9" t="n">
        <x:v>0</x:v>
      </x:c>
      <x:c r="J106" s="40" t="n">
        <x:f>IF(AND(C106&gt;='制度参数'!$B$13,C106&lt;='制度参数'!$B$14,D106="已关闭",E106="有效"),1,0)</x:f>
        <x:v>1</x:v>
      </x:c>
      <x:c r="K106" s="40" t="n">
        <x:f>VLOOKUP(B106,'员工计算'!$A$5:$H$16,8,FALSE)</x:f>
        <x:v>1</x:v>
      </x:c>
      <x:c r="L106" s="9" t="n">
        <x:f>J106*K106</x:f>
        <x:v>1</x:v>
      </x:c>
      <x:c r="M106" s="42" t="n">
        <x:f>VLOOKUP(G106,'制度参数'!$H$5:$I$7,2,FALSE)</x:f>
        <x:v>2</x:v>
      </x:c>
      <x:c r="N106" s="40" t="n">
        <x:f>VLOOKUP(F106,'制度参数'!$K$5:$L$7,2,FALSE)</x:f>
        <x:v>30</x:v>
      </x:c>
      <x:c r="O106" s="42" t="n">
        <x:f>IF(H106&lt;=N106,'制度参数'!$B$21,IF(H106&lt;=N106*'制度参数'!$B$24,'制度参数'!$B$22,'制度参数'!$B$23))</x:f>
        <x:v>1.1</x:v>
      </x:c>
      <x:c r="P106" s="32" t="n">
        <x:f>L106*M106*O106</x:f>
        <x:v>2.2</x:v>
      </x:c>
      <x:c r="Q106" s="9" t="n">
        <x:f>L106*I106</x:f>
        <x:v>0</x:v>
      </x:c>
      <x:c r="R106" s="40" t="str">
        <x:f>IF(L106=1,"有效计件",IF(J106=1,"人员无计奖资格",IF(OR(C106&lt;'制度参数'!$B$13,C106&gt;'制度参数'!$B$14),"关闭日期不在本月",IF(D106&lt;&gt;"已关闭","非已关闭","复核非有效"))))</x:f>
        <x:v>有效计件</x:v>
      </x:c>
    </x:row>
    <x:row r="107" ht="24" customHeight="1">
      <x:c r="A107" s="1" t="str">
        <x:v>T108-004</x:v>
      </x:c>
      <x:c r="B107" s="1" t="str">
        <x:v>CS108</x:v>
      </x:c>
      <x:c r="C107" s="12" t="n">
        <x:v>46279</x:v>
      </x:c>
      <x:c r="D107" s="1" t="str">
        <x:v>已关闭</x:v>
      </x:c>
      <x:c r="E107" s="1" t="str">
        <x:v>有效</x:v>
      </x:c>
      <x:c r="F107" s="1" t="str">
        <x:v>投诉</x:v>
      </x:c>
      <x:c r="G107" s="1" t="str">
        <x:v>复杂</x:v>
      </x:c>
      <x:c r="H107" s="14" t="n">
        <x:v>180</x:v>
      </x:c>
      <x:c r="I107" s="1" t="n">
        <x:v>0</x:v>
      </x:c>
      <x:c r="J107" s="39" t="n">
        <x:f>IF(AND(C107&gt;='制度参数'!$B$13,C107&lt;='制度参数'!$B$14,D107="已关闭",E107="有效"),1,0)</x:f>
        <x:v>1</x:v>
      </x:c>
      <x:c r="K107" s="39" t="n">
        <x:f>VLOOKUP(B107,'员工计算'!$A$5:$H$16,8,FALSE)</x:f>
        <x:v>1</x:v>
      </x:c>
      <x:c r="L107" s="1" t="n">
        <x:f>J107*K107</x:f>
        <x:v>1</x:v>
      </x:c>
      <x:c r="M107" s="41" t="n">
        <x:f>VLOOKUP(G107,'制度参数'!$H$5:$I$7,2,FALSE)</x:f>
        <x:v>1.5</x:v>
      </x:c>
      <x:c r="N107" s="39" t="n">
        <x:f>VLOOKUP(F107,'制度参数'!$K$5:$L$7,2,FALSE)</x:f>
        <x:v>120</x:v>
      </x:c>
      <x:c r="O107" s="41" t="n">
        <x:f>IF(H107&lt;=N107,'制度参数'!$B$21,IF(H107&lt;=N107*'制度参数'!$B$24,'制度参数'!$B$22,'制度参数'!$B$23))</x:f>
        <x:v>0.8</x:v>
      </x:c>
      <x:c r="P107" s="31" t="n">
        <x:f>L107*M107*O107</x:f>
        <x:v>1.2000000000000002</x:v>
      </x:c>
      <x:c r="Q107" s="1" t="n">
        <x:f>L107*I107</x:f>
        <x:v>0</x:v>
      </x:c>
      <x:c r="R107" s="39" t="str">
        <x:f>IF(L107=1,"有效计件",IF(J107=1,"人员无计奖资格",IF(OR(C107&lt;'制度参数'!$B$13,C107&gt;'制度参数'!$B$14),"关闭日期不在本月",IF(D107&lt;&gt;"已关闭","非已关闭","复核非有效"))))</x:f>
        <x:v>有效计件</x:v>
      </x:c>
    </x:row>
    <x:row r="108" ht="24" customHeight="1">
      <x:c r="A108" s="9" t="str">
        <x:v>T108-005</x:v>
      </x:c>
      <x:c r="B108" s="9" t="str">
        <x:v>CS108</x:v>
      </x:c>
      <x:c r="C108" s="13" t="n">
        <x:v>46281</x:v>
      </x:c>
      <x:c r="D108" s="9" t="str">
        <x:v>已关闭</x:v>
      </x:c>
      <x:c r="E108" s="9" t="str">
        <x:v>有效</x:v>
      </x:c>
      <x:c r="F108" s="9" t="str">
        <x:v>技术</x:v>
      </x:c>
      <x:c r="G108" s="9" t="str">
        <x:v>普通</x:v>
      </x:c>
      <x:c r="H108" s="15" t="n">
        <x:v>720</x:v>
      </x:c>
      <x:c r="I108" s="9" t="n">
        <x:v>1</x:v>
      </x:c>
      <x:c r="J108" s="40" t="n">
        <x:f>IF(AND(C108&gt;='制度参数'!$B$13,C108&lt;='制度参数'!$B$14,D108="已关闭",E108="有效"),1,0)</x:f>
        <x:v>1</x:v>
      </x:c>
      <x:c r="K108" s="40" t="n">
        <x:f>VLOOKUP(B108,'员工计算'!$A$5:$H$16,8,FALSE)</x:f>
        <x:v>1</x:v>
      </x:c>
      <x:c r="L108" s="9" t="n">
        <x:f>J108*K108</x:f>
        <x:v>1</x:v>
      </x:c>
      <x:c r="M108" s="42" t="n">
        <x:f>VLOOKUP(G108,'制度参数'!$H$5:$I$7,2,FALSE)</x:f>
        <x:v>1</x:v>
      </x:c>
      <x:c r="N108" s="40" t="n">
        <x:f>VLOOKUP(F108,'制度参数'!$K$5:$L$7,2,FALSE)</x:f>
        <x:v>240</x:v>
      </x:c>
      <x:c r="O108" s="42" t="n">
        <x:f>IF(H108&lt;=N108,'制度参数'!$B$21,IF(H108&lt;=N108*'制度参数'!$B$24,'制度参数'!$B$22,'制度参数'!$B$23))</x:f>
        <x:v>0.5</x:v>
      </x:c>
      <x:c r="P108" s="32" t="n">
        <x:f>L108*M108*O108</x:f>
        <x:v>0.5</x:v>
      </x:c>
      <x:c r="Q108" s="9" t="n">
        <x:f>L108*I108</x:f>
        <x:v>1</x:v>
      </x:c>
      <x:c r="R108" s="40" t="str">
        <x:f>IF(L108=1,"有效计件",IF(J108=1,"人员无计奖资格",IF(OR(C108&lt;'制度参数'!$B$13,C108&gt;'制度参数'!$B$14),"关闭日期不在本月",IF(D108&lt;&gt;"已关闭","非已关闭","复核非有效"))))</x:f>
        <x:v>有效计件</x:v>
      </x:c>
    </x:row>
    <x:row r="109" ht="24" customHeight="1">
      <x:c r="A109" s="1" t="str">
        <x:v>T108-006</x:v>
      </x:c>
      <x:c r="B109" s="1" t="str">
        <x:v>CS108</x:v>
      </x:c>
      <x:c r="C109" s="12" t="n">
        <x:v>46283</x:v>
      </x:c>
      <x:c r="D109" s="1" t="str">
        <x:v>已关闭</x:v>
      </x:c>
      <x:c r="E109" s="1" t="str">
        <x:v>有效</x:v>
      </x:c>
      <x:c r="F109" s="1" t="str">
        <x:v>咨询</x:v>
      </x:c>
      <x:c r="G109" s="1" t="str">
        <x:v>紧急</x:v>
      </x:c>
      <x:c r="H109" s="14" t="n">
        <x:v>30</x:v>
      </x:c>
      <x:c r="I109" s="1" t="n">
        <x:v>0</x:v>
      </x:c>
      <x:c r="J109" s="39" t="n">
        <x:f>IF(AND(C109&gt;='制度参数'!$B$13,C109&lt;='制度参数'!$B$14,D109="已关闭",E109="有效"),1,0)</x:f>
        <x:v>1</x:v>
      </x:c>
      <x:c r="K109" s="39" t="n">
        <x:f>VLOOKUP(B109,'员工计算'!$A$5:$H$16,8,FALSE)</x:f>
        <x:v>1</x:v>
      </x:c>
      <x:c r="L109" s="1" t="n">
        <x:f>J109*K109</x:f>
        <x:v>1</x:v>
      </x:c>
      <x:c r="M109" s="41" t="n">
        <x:f>VLOOKUP(G109,'制度参数'!$H$5:$I$7,2,FALSE)</x:f>
        <x:v>2</x:v>
      </x:c>
      <x:c r="N109" s="39" t="n">
        <x:f>VLOOKUP(F109,'制度参数'!$K$5:$L$7,2,FALSE)</x:f>
        <x:v>30</x:v>
      </x:c>
      <x:c r="O109" s="41" t="n">
        <x:f>IF(H109&lt;=N109,'制度参数'!$B$21,IF(H109&lt;=N109*'制度参数'!$B$24,'制度参数'!$B$22,'制度参数'!$B$23))</x:f>
        <x:v>1.1</x:v>
      </x:c>
      <x:c r="P109" s="31" t="n">
        <x:f>L109*M109*O109</x:f>
        <x:v>2.2</x:v>
      </x:c>
      <x:c r="Q109" s="1" t="n">
        <x:f>L109*I109</x:f>
        <x:v>0</x:v>
      </x:c>
      <x:c r="R109" s="39" t="str">
        <x:f>IF(L109=1,"有效计件",IF(J109=1,"人员无计奖资格",IF(OR(C109&lt;'制度参数'!$B$13,C109&gt;'制度参数'!$B$14),"关闭日期不在本月",IF(D109&lt;&gt;"已关闭","非已关闭","复核非有效"))))</x:f>
        <x:v>有效计件</x:v>
      </x:c>
    </x:row>
    <x:row r="110" ht="24" customHeight="1">
      <x:c r="A110" s="9" t="str">
        <x:v>T108-007</x:v>
      </x:c>
      <x:c r="B110" s="9" t="str">
        <x:v>CS108</x:v>
      </x:c>
      <x:c r="C110" s="13" t="n">
        <x:v>46285</x:v>
      </x:c>
      <x:c r="D110" s="9" t="str">
        <x:v>已关闭</x:v>
      </x:c>
      <x:c r="E110" s="9" t="str">
        <x:v>有效</x:v>
      </x:c>
      <x:c r="F110" s="9" t="str">
        <x:v>投诉</x:v>
      </x:c>
      <x:c r="G110" s="9" t="str">
        <x:v>复杂</x:v>
      </x:c>
      <x:c r="H110" s="15" t="n">
        <x:v>240</x:v>
      </x:c>
      <x:c r="I110" s="9" t="n">
        <x:v>2</x:v>
      </x:c>
      <x:c r="J110" s="40" t="n">
        <x:f>IF(AND(C110&gt;='制度参数'!$B$13,C110&lt;='制度参数'!$B$14,D110="已关闭",E110="有效"),1,0)</x:f>
        <x:v>1</x:v>
      </x:c>
      <x:c r="K110" s="40" t="n">
        <x:f>VLOOKUP(B110,'员工计算'!$A$5:$H$16,8,FALSE)</x:f>
        <x:v>1</x:v>
      </x:c>
      <x:c r="L110" s="9" t="n">
        <x:f>J110*K110</x:f>
        <x:v>1</x:v>
      </x:c>
      <x:c r="M110" s="42" t="n">
        <x:f>VLOOKUP(G110,'制度参数'!$H$5:$I$7,2,FALSE)</x:f>
        <x:v>1.5</x:v>
      </x:c>
      <x:c r="N110" s="40" t="n">
        <x:f>VLOOKUP(F110,'制度参数'!$K$5:$L$7,2,FALSE)</x:f>
        <x:v>120</x:v>
      </x:c>
      <x:c r="O110" s="42" t="n">
        <x:f>IF(H110&lt;=N110,'制度参数'!$B$21,IF(H110&lt;=N110*'制度参数'!$B$24,'制度参数'!$B$22,'制度参数'!$B$23))</x:f>
        <x:v>0.8</x:v>
      </x:c>
      <x:c r="P110" s="32" t="n">
        <x:f>L110*M110*O110</x:f>
        <x:v>1.2000000000000002</x:v>
      </x:c>
      <x:c r="Q110" s="9" t="n">
        <x:f>L110*I110</x:f>
        <x:v>2</x:v>
      </x:c>
      <x:c r="R110" s="40" t="str">
        <x:f>IF(L110=1,"有效计件",IF(J110=1,"人员无计奖资格",IF(OR(C110&lt;'制度参数'!$B$13,C110&gt;'制度参数'!$B$14),"关闭日期不在本月",IF(D110&lt;&gt;"已关闭","非已关闭","复核非有效"))))</x:f>
        <x:v>有效计件</x:v>
      </x:c>
    </x:row>
    <x:row r="111" ht="24" customHeight="1">
      <x:c r="A111" s="1" t="str">
        <x:v>T108-008</x:v>
      </x:c>
      <x:c r="B111" s="1" t="str">
        <x:v>CS108</x:v>
      </x:c>
      <x:c r="C111" s="12" t="n">
        <x:v>46287</x:v>
      </x:c>
      <x:c r="D111" s="1" t="str">
        <x:v>已关闭</x:v>
      </x:c>
      <x:c r="E111" s="1" t="str">
        <x:v>有效</x:v>
      </x:c>
      <x:c r="F111" s="1" t="str">
        <x:v>技术</x:v>
      </x:c>
      <x:c r="G111" s="1" t="str">
        <x:v>普通</x:v>
      </x:c>
      <x:c r="H111" s="14" t="n">
        <x:v>482.4</x:v>
      </x:c>
      <x:c r="I111" s="1" t="n">
        <x:v>0</x:v>
      </x:c>
      <x:c r="J111" s="39" t="n">
        <x:f>IF(AND(C111&gt;='制度参数'!$B$13,C111&lt;='制度参数'!$B$14,D111="已关闭",E111="有效"),1,0)</x:f>
        <x:v>1</x:v>
      </x:c>
      <x:c r="K111" s="39" t="n">
        <x:f>VLOOKUP(B111,'员工计算'!$A$5:$H$16,8,FALSE)</x:f>
        <x:v>1</x:v>
      </x:c>
      <x:c r="L111" s="1" t="n">
        <x:f>J111*K111</x:f>
        <x:v>1</x:v>
      </x:c>
      <x:c r="M111" s="41" t="n">
        <x:f>VLOOKUP(G111,'制度参数'!$H$5:$I$7,2,FALSE)</x:f>
        <x:v>1</x:v>
      </x:c>
      <x:c r="N111" s="39" t="n">
        <x:f>VLOOKUP(F111,'制度参数'!$K$5:$L$7,2,FALSE)</x:f>
        <x:v>240</x:v>
      </x:c>
      <x:c r="O111" s="41" t="n">
        <x:f>IF(H111&lt;=N111,'制度参数'!$B$21,IF(H111&lt;=N111*'制度参数'!$B$24,'制度参数'!$B$22,'制度参数'!$B$23))</x:f>
        <x:v>0.5</x:v>
      </x:c>
      <x:c r="P111" s="31" t="n">
        <x:f>L111*M111*O111</x:f>
        <x:v>0.5</x:v>
      </x:c>
      <x:c r="Q111" s="1" t="n">
        <x:f>L111*I111</x:f>
        <x:v>0</x:v>
      </x:c>
      <x:c r="R111" s="39" t="str">
        <x:f>IF(L111=1,"有效计件",IF(J111=1,"人员无计奖资格",IF(OR(C111&lt;'制度参数'!$B$13,C111&gt;'制度参数'!$B$14),"关闭日期不在本月",IF(D111&lt;&gt;"已关闭","非已关闭","复核非有效"))))</x:f>
        <x:v>有效计件</x:v>
      </x:c>
    </x:row>
    <x:row r="112" ht="24" customHeight="1">
      <x:c r="A112" s="9" t="str">
        <x:v>T108-009</x:v>
      </x:c>
      <x:c r="B112" s="9" t="str">
        <x:v>CS108</x:v>
      </x:c>
      <x:c r="C112" s="13" t="n">
        <x:v>46289</x:v>
      </x:c>
      <x:c r="D112" s="9" t="str">
        <x:v>已关闭</x:v>
      </x:c>
      <x:c r="E112" s="9" t="str">
        <x:v>有效</x:v>
      </x:c>
      <x:c r="F112" s="9" t="str">
        <x:v>咨询</x:v>
      </x:c>
      <x:c r="G112" s="9" t="str">
        <x:v>紧急</x:v>
      </x:c>
      <x:c r="H112" s="15" t="n">
        <x:v>24</x:v>
      </x:c>
      <x:c r="I112" s="9" t="n">
        <x:v>0</x:v>
      </x:c>
      <x:c r="J112" s="40" t="n">
        <x:f>IF(AND(C112&gt;='制度参数'!$B$13,C112&lt;='制度参数'!$B$14,D112="已关闭",E112="有效"),1,0)</x:f>
        <x:v>1</x:v>
      </x:c>
      <x:c r="K112" s="40" t="n">
        <x:f>VLOOKUP(B112,'员工计算'!$A$5:$H$16,8,FALSE)</x:f>
        <x:v>1</x:v>
      </x:c>
      <x:c r="L112" s="9" t="n">
        <x:f>J112*K112</x:f>
        <x:v>1</x:v>
      </x:c>
      <x:c r="M112" s="42" t="n">
        <x:f>VLOOKUP(G112,'制度参数'!$H$5:$I$7,2,FALSE)</x:f>
        <x:v>2</x:v>
      </x:c>
      <x:c r="N112" s="40" t="n">
        <x:f>VLOOKUP(F112,'制度参数'!$K$5:$L$7,2,FALSE)</x:f>
        <x:v>30</x:v>
      </x:c>
      <x:c r="O112" s="42" t="n">
        <x:f>IF(H112&lt;=N112,'制度参数'!$B$21,IF(H112&lt;=N112*'制度参数'!$B$24,'制度参数'!$B$22,'制度参数'!$B$23))</x:f>
        <x:v>1.1</x:v>
      </x:c>
      <x:c r="P112" s="32" t="n">
        <x:f>L112*M112*O112</x:f>
        <x:v>2.2</x:v>
      </x:c>
      <x:c r="Q112" s="9" t="n">
        <x:f>L112*I112</x:f>
        <x:v>0</x:v>
      </x:c>
      <x:c r="R112" s="40" t="str">
        <x:f>IF(L112=1,"有效计件",IF(J112=1,"人员无计奖资格",IF(OR(C112&lt;'制度参数'!$B$13,C112&gt;'制度参数'!$B$14),"关闭日期不在本月",IF(D112&lt;&gt;"已关闭","非已关闭","复核非有效"))))</x:f>
        <x:v>有效计件</x:v>
      </x:c>
    </x:row>
    <x:row r="113" ht="24" customHeight="1">
      <x:c r="A113" s="1" t="str">
        <x:v>T108-010</x:v>
      </x:c>
      <x:c r="B113" s="1" t="str">
        <x:v>CS108</x:v>
      </x:c>
      <x:c r="C113" s="12" t="n">
        <x:v>46291</x:v>
      </x:c>
      <x:c r="D113" s="1" t="str">
        <x:v>已关闭</x:v>
      </x:c>
      <x:c r="E113" s="1" t="str">
        <x:v>有效</x:v>
      </x:c>
      <x:c r="F113" s="1" t="str">
        <x:v>投诉</x:v>
      </x:c>
      <x:c r="G113" s="1" t="str">
        <x:v>复杂</x:v>
      </x:c>
      <x:c r="H113" s="14" t="n">
        <x:v>180</x:v>
      </x:c>
      <x:c r="I113" s="1" t="n">
        <x:v>1</x:v>
      </x:c>
      <x:c r="J113" s="39" t="n">
        <x:f>IF(AND(C113&gt;='制度参数'!$B$13,C113&lt;='制度参数'!$B$14,D113="已关闭",E113="有效"),1,0)</x:f>
        <x:v>1</x:v>
      </x:c>
      <x:c r="K113" s="39" t="n">
        <x:f>VLOOKUP(B113,'员工计算'!$A$5:$H$16,8,FALSE)</x:f>
        <x:v>1</x:v>
      </x:c>
      <x:c r="L113" s="1" t="n">
        <x:f>J113*K113</x:f>
        <x:v>1</x:v>
      </x:c>
      <x:c r="M113" s="41" t="n">
        <x:f>VLOOKUP(G113,'制度参数'!$H$5:$I$7,2,FALSE)</x:f>
        <x:v>1.5</x:v>
      </x:c>
      <x:c r="N113" s="39" t="n">
        <x:f>VLOOKUP(F113,'制度参数'!$K$5:$L$7,2,FALSE)</x:f>
        <x:v>120</x:v>
      </x:c>
      <x:c r="O113" s="41" t="n">
        <x:f>IF(H113&lt;=N113,'制度参数'!$B$21,IF(H113&lt;=N113*'制度参数'!$B$24,'制度参数'!$B$22,'制度参数'!$B$23))</x:f>
        <x:v>0.8</x:v>
      </x:c>
      <x:c r="P113" s="31" t="n">
        <x:f>L113*M113*O113</x:f>
        <x:v>1.2000000000000002</x:v>
      </x:c>
      <x:c r="Q113" s="1" t="n">
        <x:f>L113*I113</x:f>
        <x:v>1</x:v>
      </x:c>
      <x:c r="R113" s="39" t="str">
        <x:f>IF(L113=1,"有效计件",IF(J113=1,"人员无计奖资格",IF(OR(C113&lt;'制度参数'!$B$13,C113&gt;'制度参数'!$B$14),"关闭日期不在本月",IF(D113&lt;&gt;"已关闭","非已关闭","复核非有效"))))</x:f>
        <x:v>有效计件</x:v>
      </x:c>
    </x:row>
    <x:row r="114" ht="24" customHeight="1">
      <x:c r="A114" s="9" t="str">
        <x:v>T108-011</x:v>
      </x:c>
      <x:c r="B114" s="9" t="str">
        <x:v>CS108</x:v>
      </x:c>
      <x:c r="C114" s="13" t="n">
        <x:v>46293</x:v>
      </x:c>
      <x:c r="D114" s="9" t="str">
        <x:v>已关闭</x:v>
      </x:c>
      <x:c r="E114" s="9" t="str">
        <x:v>有效</x:v>
      </x:c>
      <x:c r="F114" s="9" t="str">
        <x:v>技术</x:v>
      </x:c>
      <x:c r="G114" s="9" t="str">
        <x:v>普通</x:v>
      </x:c>
      <x:c r="H114" s="15" t="n">
        <x:v>720</x:v>
      </x:c>
      <x:c r="I114" s="9" t="n">
        <x:v>0</x:v>
      </x:c>
      <x:c r="J114" s="40" t="n">
        <x:f>IF(AND(C114&gt;='制度参数'!$B$13,C114&lt;='制度参数'!$B$14,D114="已关闭",E114="有效"),1,0)</x:f>
        <x:v>1</x:v>
      </x:c>
      <x:c r="K114" s="40" t="n">
        <x:f>VLOOKUP(B114,'员工计算'!$A$5:$H$16,8,FALSE)</x:f>
        <x:v>1</x:v>
      </x:c>
      <x:c r="L114" s="9" t="n">
        <x:f>J114*K114</x:f>
        <x:v>1</x:v>
      </x:c>
      <x:c r="M114" s="42" t="n">
        <x:f>VLOOKUP(G114,'制度参数'!$H$5:$I$7,2,FALSE)</x:f>
        <x:v>1</x:v>
      </x:c>
      <x:c r="N114" s="40" t="n">
        <x:f>VLOOKUP(F114,'制度参数'!$K$5:$L$7,2,FALSE)</x:f>
        <x:v>240</x:v>
      </x:c>
      <x:c r="O114" s="42" t="n">
        <x:f>IF(H114&lt;=N114,'制度参数'!$B$21,IF(H114&lt;=N114*'制度参数'!$B$24,'制度参数'!$B$22,'制度参数'!$B$23))</x:f>
        <x:v>0.5</x:v>
      </x:c>
      <x:c r="P114" s="32" t="n">
        <x:f>L114*M114*O114</x:f>
        <x:v>0.5</x:v>
      </x:c>
      <x:c r="Q114" s="9" t="n">
        <x:f>L114*I114</x:f>
        <x:v>0</x:v>
      </x:c>
      <x:c r="R114" s="40" t="str">
        <x:f>IF(L114=1,"有效计件",IF(J114=1,"人员无计奖资格",IF(OR(C114&lt;'制度参数'!$B$13,C114&gt;'制度参数'!$B$14),"关闭日期不在本月",IF(D114&lt;&gt;"已关闭","非已关闭","复核非有效"))))</x:f>
        <x:v>有效计件</x:v>
      </x:c>
    </x:row>
    <x:row r="115" ht="24" customHeight="1">
      <x:c r="A115" s="1" t="str">
        <x:v>T108-012</x:v>
      </x:c>
      <x:c r="B115" s="1" t="str">
        <x:v>CS108</x:v>
      </x:c>
      <x:c r="C115" s="12" t="n">
        <x:v>46295</x:v>
      </x:c>
      <x:c r="D115" s="1" t="str">
        <x:v>已关闭</x:v>
      </x:c>
      <x:c r="E115" s="1" t="str">
        <x:v>有效</x:v>
      </x:c>
      <x:c r="F115" s="1" t="str">
        <x:v>咨询</x:v>
      </x:c>
      <x:c r="G115" s="1" t="str">
        <x:v>紧急</x:v>
      </x:c>
      <x:c r="H115" s="14" t="n">
        <x:v>30</x:v>
      </x:c>
      <x:c r="I115" s="1" t="n">
        <x:v>2</x:v>
      </x:c>
      <x:c r="J115" s="39" t="n">
        <x:f>IF(AND(C115&gt;='制度参数'!$B$13,C115&lt;='制度参数'!$B$14,D115="已关闭",E115="有效"),1,0)</x:f>
        <x:v>1</x:v>
      </x:c>
      <x:c r="K115" s="39" t="n">
        <x:f>VLOOKUP(B115,'员工计算'!$A$5:$H$16,8,FALSE)</x:f>
        <x:v>1</x:v>
      </x:c>
      <x:c r="L115" s="1" t="n">
        <x:f>J115*K115</x:f>
        <x:v>1</x:v>
      </x:c>
      <x:c r="M115" s="41" t="n">
        <x:f>VLOOKUP(G115,'制度参数'!$H$5:$I$7,2,FALSE)</x:f>
        <x:v>2</x:v>
      </x:c>
      <x:c r="N115" s="39" t="n">
        <x:f>VLOOKUP(F115,'制度参数'!$K$5:$L$7,2,FALSE)</x:f>
        <x:v>30</x:v>
      </x:c>
      <x:c r="O115" s="41" t="n">
        <x:f>IF(H115&lt;=N115,'制度参数'!$B$21,IF(H115&lt;=N115*'制度参数'!$B$24,'制度参数'!$B$22,'制度参数'!$B$23))</x:f>
        <x:v>1.1</x:v>
      </x:c>
      <x:c r="P115" s="31" t="n">
        <x:f>L115*M115*O115</x:f>
        <x:v>2.2</x:v>
      </x:c>
      <x:c r="Q115" s="1" t="n">
        <x:f>L115*I115</x:f>
        <x:v>2</x:v>
      </x:c>
      <x:c r="R115" s="39" t="str">
        <x:f>IF(L115=1,"有效计件",IF(J115=1,"人员无计奖资格",IF(OR(C115&lt;'制度参数'!$B$13,C115&gt;'制度参数'!$B$14),"关闭日期不在本月",IF(D115&lt;&gt;"已关闭","非已关闭","复核非有效"))))</x:f>
        <x:v>有效计件</x:v>
      </x:c>
    </x:row>
    <x:row r="116" ht="24" customHeight="1">
      <x:c r="A116" s="9" t="str">
        <x:v>T108-013</x:v>
      </x:c>
      <x:c r="B116" s="9" t="str">
        <x:v>CS108</x:v>
      </x:c>
      <x:c r="C116" s="13" t="n">
        <x:v>46267</x:v>
      </x:c>
      <x:c r="D116" s="9" t="str">
        <x:v>已关闭</x:v>
      </x:c>
      <x:c r="E116" s="9" t="str">
        <x:v>有效</x:v>
      </x:c>
      <x:c r="F116" s="9" t="str">
        <x:v>投诉</x:v>
      </x:c>
      <x:c r="G116" s="9" t="str">
        <x:v>复杂</x:v>
      </x:c>
      <x:c r="H116" s="15" t="n">
        <x:v>240</x:v>
      </x:c>
      <x:c r="I116" s="9" t="n">
        <x:v>0</x:v>
      </x:c>
      <x:c r="J116" s="40" t="n">
        <x:f>IF(AND(C116&gt;='制度参数'!$B$13,C116&lt;='制度参数'!$B$14,D116="已关闭",E116="有效"),1,0)</x:f>
        <x:v>1</x:v>
      </x:c>
      <x:c r="K116" s="40" t="n">
        <x:f>VLOOKUP(B116,'员工计算'!$A$5:$H$16,8,FALSE)</x:f>
        <x:v>1</x:v>
      </x:c>
      <x:c r="L116" s="9" t="n">
        <x:f>J116*K116</x:f>
        <x:v>1</x:v>
      </x:c>
      <x:c r="M116" s="42" t="n">
        <x:f>VLOOKUP(G116,'制度参数'!$H$5:$I$7,2,FALSE)</x:f>
        <x:v>1.5</x:v>
      </x:c>
      <x:c r="N116" s="40" t="n">
        <x:f>VLOOKUP(F116,'制度参数'!$K$5:$L$7,2,FALSE)</x:f>
        <x:v>120</x:v>
      </x:c>
      <x:c r="O116" s="42" t="n">
        <x:f>IF(H116&lt;=N116,'制度参数'!$B$21,IF(H116&lt;=N116*'制度参数'!$B$24,'制度参数'!$B$22,'制度参数'!$B$23))</x:f>
        <x:v>0.8</x:v>
      </x:c>
      <x:c r="P116" s="32" t="n">
        <x:f>L116*M116*O116</x:f>
        <x:v>1.2000000000000002</x:v>
      </x:c>
      <x:c r="Q116" s="9" t="n">
        <x:f>L116*I116</x:f>
        <x:v>0</x:v>
      </x:c>
      <x:c r="R116" s="40" t="str">
        <x:f>IF(L116=1,"有效计件",IF(J116=1,"人员无计奖资格",IF(OR(C116&lt;'制度参数'!$B$13,C116&gt;'制度参数'!$B$14),"关闭日期不在本月",IF(D116&lt;&gt;"已关闭","非已关闭","复核非有效"))))</x:f>
        <x:v>有效计件</x:v>
      </x:c>
    </x:row>
    <x:row r="117" ht="24" customHeight="1">
      <x:c r="A117" s="1" t="str">
        <x:v>T108-014</x:v>
      </x:c>
      <x:c r="B117" s="1" t="str">
        <x:v>CS108</x:v>
      </x:c>
      <x:c r="C117" s="12" t="n">
        <x:v>46269</x:v>
      </x:c>
      <x:c r="D117" s="1" t="str">
        <x:v>已关闭</x:v>
      </x:c>
      <x:c r="E117" s="1" t="str">
        <x:v>有效</x:v>
      </x:c>
      <x:c r="F117" s="1" t="str">
        <x:v>技术</x:v>
      </x:c>
      <x:c r="G117" s="1" t="str">
        <x:v>普通</x:v>
      </x:c>
      <x:c r="H117" s="14" t="n">
        <x:v>482.4</x:v>
      </x:c>
      <x:c r="I117" s="1" t="n">
        <x:v>0</x:v>
      </x:c>
      <x:c r="J117" s="39" t="n">
        <x:f>IF(AND(C117&gt;='制度参数'!$B$13,C117&lt;='制度参数'!$B$14,D117="已关闭",E117="有效"),1,0)</x:f>
        <x:v>1</x:v>
      </x:c>
      <x:c r="K117" s="39" t="n">
        <x:f>VLOOKUP(B117,'员工计算'!$A$5:$H$16,8,FALSE)</x:f>
        <x:v>1</x:v>
      </x:c>
      <x:c r="L117" s="1" t="n">
        <x:f>J117*K117</x:f>
        <x:v>1</x:v>
      </x:c>
      <x:c r="M117" s="41" t="n">
        <x:f>VLOOKUP(G117,'制度参数'!$H$5:$I$7,2,FALSE)</x:f>
        <x:v>1</x:v>
      </x:c>
      <x:c r="N117" s="39" t="n">
        <x:f>VLOOKUP(F117,'制度参数'!$K$5:$L$7,2,FALSE)</x:f>
        <x:v>240</x:v>
      </x:c>
      <x:c r="O117" s="41" t="n">
        <x:f>IF(H117&lt;=N117,'制度参数'!$B$21,IF(H117&lt;=N117*'制度参数'!$B$24,'制度参数'!$B$22,'制度参数'!$B$23))</x:f>
        <x:v>0.5</x:v>
      </x:c>
      <x:c r="P117" s="31" t="n">
        <x:f>L117*M117*O117</x:f>
        <x:v>0.5</x:v>
      </x:c>
      <x:c r="Q117" s="1" t="n">
        <x:f>L117*I117</x:f>
        <x:v>0</x:v>
      </x:c>
      <x:c r="R117" s="39" t="str">
        <x:f>IF(L117=1,"有效计件",IF(J117=1,"人员无计奖资格",IF(OR(C117&lt;'制度参数'!$B$13,C117&gt;'制度参数'!$B$14),"关闭日期不在本月",IF(D117&lt;&gt;"已关闭","非已关闭","复核非有效"))))</x:f>
        <x:v>有效计件</x:v>
      </x:c>
    </x:row>
    <x:row r="118" ht="24" customHeight="1">
      <x:c r="A118" s="9" t="str">
        <x:v>T108-015</x:v>
      </x:c>
      <x:c r="B118" s="9" t="str">
        <x:v>CS108</x:v>
      </x:c>
      <x:c r="C118" s="13" t="n">
        <x:v>46271</x:v>
      </x:c>
      <x:c r="D118" s="9" t="str">
        <x:v>处理中</x:v>
      </x:c>
      <x:c r="E118" s="9" t="str">
        <x:v>有效</x:v>
      </x:c>
      <x:c r="F118" s="9" t="str">
        <x:v>咨询</x:v>
      </x:c>
      <x:c r="G118" s="9" t="str">
        <x:v>紧急</x:v>
      </x:c>
      <x:c r="H118" s="15" t="n">
        <x:v>24</x:v>
      </x:c>
      <x:c r="I118" s="9" t="n">
        <x:v>1</x:v>
      </x:c>
      <x:c r="J118" s="40" t="n">
        <x:f>IF(AND(C118&gt;='制度参数'!$B$13,C118&lt;='制度参数'!$B$14,D118="已关闭",E118="有效"),1,0)</x:f>
        <x:v>0</x:v>
      </x:c>
      <x:c r="K118" s="40" t="n">
        <x:f>VLOOKUP(B118,'员工计算'!$A$5:$H$16,8,FALSE)</x:f>
        <x:v>1</x:v>
      </x:c>
      <x:c r="L118" s="9" t="n">
        <x:f>J118*K118</x:f>
        <x:v>0</x:v>
      </x:c>
      <x:c r="M118" s="42" t="n">
        <x:f>VLOOKUP(G118,'制度参数'!$H$5:$I$7,2,FALSE)</x:f>
        <x:v>2</x:v>
      </x:c>
      <x:c r="N118" s="40" t="n">
        <x:f>VLOOKUP(F118,'制度参数'!$K$5:$L$7,2,FALSE)</x:f>
        <x:v>30</x:v>
      </x:c>
      <x:c r="O118" s="42" t="n">
        <x:f>IF(H118&lt;=N118,'制度参数'!$B$21,IF(H118&lt;=N118*'制度参数'!$B$24,'制度参数'!$B$22,'制度参数'!$B$23))</x:f>
        <x:v>1.1</x:v>
      </x:c>
      <x:c r="P118" s="32" t="n">
        <x:f>L118*M118*O118</x:f>
        <x:v>0</x:v>
      </x:c>
      <x:c r="Q118" s="9" t="n">
        <x:f>L118*I118</x:f>
        <x:v>0</x:v>
      </x:c>
      <x:c r="R118" s="40" t="str">
        <x:f>IF(L118=1,"有效计件",IF(J118=1,"人员无计奖资格",IF(OR(C118&lt;'制度参数'!$B$13,C118&gt;'制度参数'!$B$14),"关闭日期不在本月",IF(D118&lt;&gt;"已关闭","非已关闭","复核非有效"))))</x:f>
        <x:v>非已关闭</x:v>
      </x:c>
    </x:row>
    <x:row r="119" ht="24" customHeight="1">
      <x:c r="A119" s="1" t="str">
        <x:v>T108-016</x:v>
      </x:c>
      <x:c r="B119" s="1" t="str">
        <x:v>CS108</x:v>
      </x:c>
      <x:c r="C119" s="12" t="n">
        <x:v>46273</x:v>
      </x:c>
      <x:c r="D119" s="1" t="str">
        <x:v>已作废</x:v>
      </x:c>
      <x:c r="E119" s="1" t="str">
        <x:v>有效</x:v>
      </x:c>
      <x:c r="F119" s="1" t="str">
        <x:v>投诉</x:v>
      </x:c>
      <x:c r="G119" s="1" t="str">
        <x:v>复杂</x:v>
      </x:c>
      <x:c r="H119" s="14" t="n">
        <x:v>180</x:v>
      </x:c>
      <x:c r="I119" s="1" t="n">
        <x:v>0</x:v>
      </x:c>
      <x:c r="J119" s="39" t="n">
        <x:f>IF(AND(C119&gt;='制度参数'!$B$13,C119&lt;='制度参数'!$B$14,D119="已关闭",E119="有效"),1,0)</x:f>
        <x:v>0</x:v>
      </x:c>
      <x:c r="K119" s="39" t="n">
        <x:f>VLOOKUP(B119,'员工计算'!$A$5:$H$16,8,FALSE)</x:f>
        <x:v>1</x:v>
      </x:c>
      <x:c r="L119" s="1" t="n">
        <x:f>J119*K119</x:f>
        <x:v>0</x:v>
      </x:c>
      <x:c r="M119" s="41" t="n">
        <x:f>VLOOKUP(G119,'制度参数'!$H$5:$I$7,2,FALSE)</x:f>
        <x:v>1.5</x:v>
      </x:c>
      <x:c r="N119" s="39" t="n">
        <x:f>VLOOKUP(F119,'制度参数'!$K$5:$L$7,2,FALSE)</x:f>
        <x:v>120</x:v>
      </x:c>
      <x:c r="O119" s="41" t="n">
        <x:f>IF(H119&lt;=N119,'制度参数'!$B$21,IF(H119&lt;=N119*'制度参数'!$B$24,'制度参数'!$B$22,'制度参数'!$B$23))</x:f>
        <x:v>0.8</x:v>
      </x:c>
      <x:c r="P119" s="31" t="n">
        <x:f>L119*M119*O119</x:f>
        <x:v>0</x:v>
      </x:c>
      <x:c r="Q119" s="1" t="n">
        <x:f>L119*I119</x:f>
        <x:v>0</x:v>
      </x:c>
      <x:c r="R119" s="39" t="str">
        <x:f>IF(L119=1,"有效计件",IF(J119=1,"人员无计奖资格",IF(OR(C119&lt;'制度参数'!$B$13,C119&gt;'制度参数'!$B$14),"关闭日期不在本月",IF(D119&lt;&gt;"已关闭","非已关闭","复核非有效"))))</x:f>
        <x:v>非已关闭</x:v>
      </x:c>
    </x:row>
    <x:row r="120" ht="24" customHeight="1">
      <x:c r="A120" s="9" t="str">
        <x:v>T108-017</x:v>
      </x:c>
      <x:c r="B120" s="9" t="str">
        <x:v>CS108</x:v>
      </x:c>
      <x:c r="C120" s="13" t="n">
        <x:v>46265</x:v>
      </x:c>
      <x:c r="D120" s="9" t="str">
        <x:v>已关闭</x:v>
      </x:c>
      <x:c r="E120" s="9" t="str">
        <x:v>有效</x:v>
      </x:c>
      <x:c r="F120" s="9" t="str">
        <x:v>技术</x:v>
      </x:c>
      <x:c r="G120" s="9" t="str">
        <x:v>普通</x:v>
      </x:c>
      <x:c r="H120" s="15" t="n">
        <x:v>720</x:v>
      </x:c>
      <x:c r="I120" s="9" t="n">
        <x:v>2</x:v>
      </x:c>
      <x:c r="J120" s="40" t="n">
        <x:f>IF(AND(C120&gt;='制度参数'!$B$13,C120&lt;='制度参数'!$B$14,D120="已关闭",E120="有效"),1,0)</x:f>
        <x:v>0</x:v>
      </x:c>
      <x:c r="K120" s="40" t="n">
        <x:f>VLOOKUP(B120,'员工计算'!$A$5:$H$16,8,FALSE)</x:f>
        <x:v>1</x:v>
      </x:c>
      <x:c r="L120" s="9" t="n">
        <x:f>J120*K120</x:f>
        <x:v>0</x:v>
      </x:c>
      <x:c r="M120" s="42" t="n">
        <x:f>VLOOKUP(G120,'制度参数'!$H$5:$I$7,2,FALSE)</x:f>
        <x:v>1</x:v>
      </x:c>
      <x:c r="N120" s="40" t="n">
        <x:f>VLOOKUP(F120,'制度参数'!$K$5:$L$7,2,FALSE)</x:f>
        <x:v>240</x:v>
      </x:c>
      <x:c r="O120" s="42" t="n">
        <x:f>IF(H120&lt;=N120,'制度参数'!$B$21,IF(H120&lt;=N120*'制度参数'!$B$24,'制度参数'!$B$22,'制度参数'!$B$23))</x:f>
        <x:v>0.5</x:v>
      </x:c>
      <x:c r="P120" s="32" t="n">
        <x:f>L120*M120*O120</x:f>
        <x:v>0</x:v>
      </x:c>
      <x:c r="Q120" s="9" t="n">
        <x:f>L120*I120</x:f>
        <x:v>0</x:v>
      </x:c>
      <x:c r="R120" s="40" t="str">
        <x:f>IF(L120=1,"有效计件",IF(J120=1,"人员无计奖资格",IF(OR(C120&lt;'制度参数'!$B$13,C120&gt;'制度参数'!$B$14),"关闭日期不在本月",IF(D120&lt;&gt;"已关闭","非已关闭","复核非有效"))))</x:f>
        <x:v>关闭日期不在本月</x:v>
      </x:c>
    </x:row>
    <x:row r="121" ht="24" customHeight="1">
      <x:c r="A121" s="1" t="str">
        <x:v>T108-018</x:v>
      </x:c>
      <x:c r="B121" s="1" t="str">
        <x:v>CS108</x:v>
      </x:c>
      <x:c r="C121" s="12" t="n">
        <x:v>46296</x:v>
      </x:c>
      <x:c r="D121" s="1" t="str">
        <x:v>已关闭</x:v>
      </x:c>
      <x:c r="E121" s="1" t="str">
        <x:v>有效</x:v>
      </x:c>
      <x:c r="F121" s="1" t="str">
        <x:v>咨询</x:v>
      </x:c>
      <x:c r="G121" s="1" t="str">
        <x:v>紧急</x:v>
      </x:c>
      <x:c r="H121" s="14" t="n">
        <x:v>30</x:v>
      </x:c>
      <x:c r="I121" s="1" t="n">
        <x:v>0</x:v>
      </x:c>
      <x:c r="J121" s="39" t="n">
        <x:f>IF(AND(C121&gt;='制度参数'!$B$13,C121&lt;='制度参数'!$B$14,D121="已关闭",E121="有效"),1,0)</x:f>
        <x:v>0</x:v>
      </x:c>
      <x:c r="K121" s="39" t="n">
        <x:f>VLOOKUP(B121,'员工计算'!$A$5:$H$16,8,FALSE)</x:f>
        <x:v>1</x:v>
      </x:c>
      <x:c r="L121" s="1" t="n">
        <x:f>J121*K121</x:f>
        <x:v>0</x:v>
      </x:c>
      <x:c r="M121" s="41" t="n">
        <x:f>VLOOKUP(G121,'制度参数'!$H$5:$I$7,2,FALSE)</x:f>
        <x:v>2</x:v>
      </x:c>
      <x:c r="N121" s="39" t="n">
        <x:f>VLOOKUP(F121,'制度参数'!$K$5:$L$7,2,FALSE)</x:f>
        <x:v>30</x:v>
      </x:c>
      <x:c r="O121" s="41" t="n">
        <x:f>IF(H121&lt;=N121,'制度参数'!$B$21,IF(H121&lt;=N121*'制度参数'!$B$24,'制度参数'!$B$22,'制度参数'!$B$23))</x:f>
        <x:v>1.1</x:v>
      </x:c>
      <x:c r="P121" s="31" t="n">
        <x:f>L121*M121*O121</x:f>
        <x:v>0</x:v>
      </x:c>
      <x:c r="Q121" s="1" t="n">
        <x:f>L121*I121</x:f>
        <x:v>0</x:v>
      </x:c>
      <x:c r="R121" s="39" t="str">
        <x:f>IF(L121=1,"有效计件",IF(J121=1,"人员无计奖资格",IF(OR(C121&lt;'制度参数'!$B$13,C121&gt;'制度参数'!$B$14),"关闭日期不在本月",IF(D121&lt;&gt;"已关闭","非已关闭","复核非有效"))))</x:f>
        <x:v>关闭日期不在本月</x:v>
      </x:c>
    </x:row>
    <x:row r="122" ht="24" customHeight="1">
      <x:c r="A122" s="9" t="str">
        <x:v>T108-019</x:v>
      </x:c>
      <x:c r="B122" s="9" t="str">
        <x:v>CS108</x:v>
      </x:c>
      <x:c r="C122" s="13" t="n">
        <x:v>46279</x:v>
      </x:c>
      <x:c r="D122" s="9" t="str">
        <x:v>已关闭</x:v>
      </x:c>
      <x:c r="E122" s="9" t="str">
        <x:v>待确认</x:v>
      </x:c>
      <x:c r="F122" s="9" t="str">
        <x:v>投诉</x:v>
      </x:c>
      <x:c r="G122" s="9" t="str">
        <x:v>复杂</x:v>
      </x:c>
      <x:c r="H122" s="15" t="n">
        <x:v>240</x:v>
      </x:c>
      <x:c r="I122" s="9" t="n">
        <x:v>0</x:v>
      </x:c>
      <x:c r="J122" s="40" t="n">
        <x:f>IF(AND(C122&gt;='制度参数'!$B$13,C122&lt;='制度参数'!$B$14,D122="已关闭",E122="有效"),1,0)</x:f>
        <x:v>0</x:v>
      </x:c>
      <x:c r="K122" s="40" t="n">
        <x:f>VLOOKUP(B122,'员工计算'!$A$5:$H$16,8,FALSE)</x:f>
        <x:v>1</x:v>
      </x:c>
      <x:c r="L122" s="9" t="n">
        <x:f>J122*K122</x:f>
        <x:v>0</x:v>
      </x:c>
      <x:c r="M122" s="42" t="n">
        <x:f>VLOOKUP(G122,'制度参数'!$H$5:$I$7,2,FALSE)</x:f>
        <x:v>1.5</x:v>
      </x:c>
      <x:c r="N122" s="40" t="n">
        <x:f>VLOOKUP(F122,'制度参数'!$K$5:$L$7,2,FALSE)</x:f>
        <x:v>120</x:v>
      </x:c>
      <x:c r="O122" s="42" t="n">
        <x:f>IF(H122&lt;=N122,'制度参数'!$B$21,IF(H122&lt;=N122*'制度参数'!$B$24,'制度参数'!$B$22,'制度参数'!$B$23))</x:f>
        <x:v>0.8</x:v>
      </x:c>
      <x:c r="P122" s="32" t="n">
        <x:f>L122*M122*O122</x:f>
        <x:v>0</x:v>
      </x:c>
      <x:c r="Q122" s="9" t="n">
        <x:f>L122*I122</x:f>
        <x:v>0</x:v>
      </x:c>
      <x:c r="R122" s="40" t="str">
        <x:f>IF(L122=1,"有效计件",IF(J122=1,"人员无计奖资格",IF(OR(C122&lt;'制度参数'!$B$13,C122&gt;'制度参数'!$B$14),"关闭日期不在本月",IF(D122&lt;&gt;"已关闭","非已关闭","复核非有效"))))</x:f>
        <x:v>复核非有效</x:v>
      </x:c>
    </x:row>
    <x:row r="123" ht="24" customHeight="1">
      <x:c r="A123" s="1" t="str">
        <x:v>T108-020</x:v>
      </x:c>
      <x:c r="B123" s="1" t="str">
        <x:v>CS108</x:v>
      </x:c>
      <x:c r="C123" s="12" t="n">
        <x:v>46281</x:v>
      </x:c>
      <x:c r="D123" s="1" t="str">
        <x:v>已关闭</x:v>
      </x:c>
      <x:c r="E123" s="1" t="str">
        <x:v>无效</x:v>
      </x:c>
      <x:c r="F123" s="1" t="str">
        <x:v>技术</x:v>
      </x:c>
      <x:c r="G123" s="1" t="str">
        <x:v>普通</x:v>
      </x:c>
      <x:c r="H123" s="14" t="n">
        <x:v>482.4</x:v>
      </x:c>
      <x:c r="I123" s="1" t="n">
        <x:v>1</x:v>
      </x:c>
      <x:c r="J123" s="39" t="n">
        <x:f>IF(AND(C123&gt;='制度参数'!$B$13,C123&lt;='制度参数'!$B$14,D123="已关闭",E123="有效"),1,0)</x:f>
        <x:v>0</x:v>
      </x:c>
      <x:c r="K123" s="39" t="n">
        <x:f>VLOOKUP(B123,'员工计算'!$A$5:$H$16,8,FALSE)</x:f>
        <x:v>1</x:v>
      </x:c>
      <x:c r="L123" s="1" t="n">
        <x:f>J123*K123</x:f>
        <x:v>0</x:v>
      </x:c>
      <x:c r="M123" s="41" t="n">
        <x:f>VLOOKUP(G123,'制度参数'!$H$5:$I$7,2,FALSE)</x:f>
        <x:v>1</x:v>
      </x:c>
      <x:c r="N123" s="39" t="n">
        <x:f>VLOOKUP(F123,'制度参数'!$K$5:$L$7,2,FALSE)</x:f>
        <x:v>240</x:v>
      </x:c>
      <x:c r="O123" s="41" t="n">
        <x:f>IF(H123&lt;=N123,'制度参数'!$B$21,IF(H123&lt;=N123*'制度参数'!$B$24,'制度参数'!$B$22,'制度参数'!$B$23))</x:f>
        <x:v>0.5</x:v>
      </x:c>
      <x:c r="P123" s="31" t="n">
        <x:f>L123*M123*O123</x:f>
        <x:v>0</x:v>
      </x:c>
      <x:c r="Q123" s="1" t="n">
        <x:f>L123*I123</x:f>
        <x:v>0</x:v>
      </x:c>
      <x:c r="R123" s="39" t="str">
        <x:f>IF(L123=1,"有效计件",IF(J123=1,"人员无计奖资格",IF(OR(C123&lt;'制度参数'!$B$13,C123&gt;'制度参数'!$B$14),"关闭日期不在本月",IF(D123&lt;&gt;"已关闭","非已关闭","复核非有效"))))</x:f>
        <x:v>复核非有效</x:v>
      </x:c>
    </x:row>
    <x:row r="124" ht="24" customHeight="1">
      <x:c r="A124" s="9" t="str">
        <x:v>T109-001</x:v>
      </x:c>
      <x:c r="B124" s="9" t="str">
        <x:v>CS109</x:v>
      </x:c>
      <x:c r="C124" s="13" t="n">
        <x:v>46274</x:v>
      </x:c>
      <x:c r="D124" s="9" t="str">
        <x:v>处理中</x:v>
      </x:c>
      <x:c r="E124" s="9" t="str">
        <x:v>有效</x:v>
      </x:c>
      <x:c r="F124" s="9" t="str">
        <x:v>技术</x:v>
      </x:c>
      <x:c r="G124" s="9" t="str">
        <x:v>紧急</x:v>
      </x:c>
      <x:c r="H124" s="15" t="n">
        <x:v>482.4</x:v>
      </x:c>
      <x:c r="I124" s="9" t="n">
        <x:v>2</x:v>
      </x:c>
      <x:c r="J124" s="40" t="n">
        <x:f>IF(AND(C124&gt;='制度参数'!$B$13,C124&lt;='制度参数'!$B$14,D124="已关闭",E124="有效"),1,0)</x:f>
        <x:v>0</x:v>
      </x:c>
      <x:c r="K124" s="40" t="n">
        <x:f>VLOOKUP(B124,'员工计算'!$A$5:$H$16,8,FALSE)</x:f>
        <x:v>1</x:v>
      </x:c>
      <x:c r="L124" s="9" t="n">
        <x:f>J124*K124</x:f>
        <x:v>0</x:v>
      </x:c>
      <x:c r="M124" s="42" t="n">
        <x:f>VLOOKUP(G124,'制度参数'!$H$5:$I$7,2,FALSE)</x:f>
        <x:v>2</x:v>
      </x:c>
      <x:c r="N124" s="40" t="n">
        <x:f>VLOOKUP(F124,'制度参数'!$K$5:$L$7,2,FALSE)</x:f>
        <x:v>240</x:v>
      </x:c>
      <x:c r="O124" s="42" t="n">
        <x:f>IF(H124&lt;=N124,'制度参数'!$B$21,IF(H124&lt;=N124*'制度参数'!$B$24,'制度参数'!$B$22,'制度参数'!$B$23))</x:f>
        <x:v>0.5</x:v>
      </x:c>
      <x:c r="P124" s="32" t="n">
        <x:f>L124*M124*O124</x:f>
        <x:v>0</x:v>
      </x:c>
      <x:c r="Q124" s="9" t="n">
        <x:f>L124*I124</x:f>
        <x:v>0</x:v>
      </x:c>
      <x:c r="R124" s="40" t="str">
        <x:f>IF(L124=1,"有效计件",IF(J124=1,"人员无计奖资格",IF(OR(C124&lt;'制度参数'!$B$13,C124&gt;'制度参数'!$B$14),"关闭日期不在本月",IF(D124&lt;&gt;"已关闭","非已关闭","复核非有效"))))</x:f>
        <x:v>非已关闭</x:v>
      </x:c>
    </x:row>
    <x:row r="125" ht="24" customHeight="1">
      <x:c r="A125" s="1" t="str">
        <x:v>T109-002</x:v>
      </x:c>
      <x:c r="B125" s="1" t="str">
        <x:v>CS109</x:v>
      </x:c>
      <x:c r="C125" s="12" t="n">
        <x:v>46276</x:v>
      </x:c>
      <x:c r="D125" s="1" t="str">
        <x:v>已作废</x:v>
      </x:c>
      <x:c r="E125" s="1" t="str">
        <x:v>有效</x:v>
      </x:c>
      <x:c r="F125" s="1" t="str">
        <x:v>咨询</x:v>
      </x:c>
      <x:c r="G125" s="1" t="str">
        <x:v>复杂</x:v>
      </x:c>
      <x:c r="H125" s="14" t="n">
        <x:v>24</x:v>
      </x:c>
      <x:c r="I125" s="1" t="n">
        <x:v>0</x:v>
      </x:c>
      <x:c r="J125" s="39" t="n">
        <x:f>IF(AND(C125&gt;='制度参数'!$B$13,C125&lt;='制度参数'!$B$14,D125="已关闭",E125="有效"),1,0)</x:f>
        <x:v>0</x:v>
      </x:c>
      <x:c r="K125" s="39" t="n">
        <x:f>VLOOKUP(B125,'员工计算'!$A$5:$H$16,8,FALSE)</x:f>
        <x:v>1</x:v>
      </x:c>
      <x:c r="L125" s="1" t="n">
        <x:f>J125*K125</x:f>
        <x:v>0</x:v>
      </x:c>
      <x:c r="M125" s="41" t="n">
        <x:f>VLOOKUP(G125,'制度参数'!$H$5:$I$7,2,FALSE)</x:f>
        <x:v>1.5</x:v>
      </x:c>
      <x:c r="N125" s="39" t="n">
        <x:f>VLOOKUP(F125,'制度参数'!$K$5:$L$7,2,FALSE)</x:f>
        <x:v>30</x:v>
      </x:c>
      <x:c r="O125" s="41" t="n">
        <x:f>IF(H125&lt;=N125,'制度参数'!$B$21,IF(H125&lt;=N125*'制度参数'!$B$24,'制度参数'!$B$22,'制度参数'!$B$23))</x:f>
        <x:v>1.1</x:v>
      </x:c>
      <x:c r="P125" s="31" t="n">
        <x:f>L125*M125*O125</x:f>
        <x:v>0</x:v>
      </x:c>
      <x:c r="Q125" s="1" t="n">
        <x:f>L125*I125</x:f>
        <x:v>0</x:v>
      </x:c>
      <x:c r="R125" s="39" t="str">
        <x:f>IF(L125=1,"有效计件",IF(J125=1,"人员无计奖资格",IF(OR(C125&lt;'制度参数'!$B$13,C125&gt;'制度参数'!$B$14),"关闭日期不在本月",IF(D125&lt;&gt;"已关闭","非已关闭","复核非有效"))))</x:f>
        <x:v>非已关闭</x:v>
      </x:c>
    </x:row>
    <x:row r="126" ht="24" customHeight="1">
      <x:c r="A126" s="9" t="str">
        <x:v>T109-003</x:v>
      </x:c>
      <x:c r="B126" s="9" t="str">
        <x:v>CS109</x:v>
      </x:c>
      <x:c r="C126" s="13" t="n">
        <x:v>46265</x:v>
      </x:c>
      <x:c r="D126" s="9" t="str">
        <x:v>已关闭</x:v>
      </x:c>
      <x:c r="E126" s="9" t="str">
        <x:v>有效</x:v>
      </x:c>
      <x:c r="F126" s="9" t="str">
        <x:v>投诉</x:v>
      </x:c>
      <x:c r="G126" s="9" t="str">
        <x:v>普通</x:v>
      </x:c>
      <x:c r="H126" s="15" t="n">
        <x:v>180</x:v>
      </x:c>
      <x:c r="I126" s="9" t="n">
        <x:v>0</x:v>
      </x:c>
      <x:c r="J126" s="40" t="n">
        <x:f>IF(AND(C126&gt;='制度参数'!$B$13,C126&lt;='制度参数'!$B$14,D126="已关闭",E126="有效"),1,0)</x:f>
        <x:v>0</x:v>
      </x:c>
      <x:c r="K126" s="40" t="n">
        <x:f>VLOOKUP(B126,'员工计算'!$A$5:$H$16,8,FALSE)</x:f>
        <x:v>1</x:v>
      </x:c>
      <x:c r="L126" s="9" t="n">
        <x:f>J126*K126</x:f>
        <x:v>0</x:v>
      </x:c>
      <x:c r="M126" s="42" t="n">
        <x:f>VLOOKUP(G126,'制度参数'!$H$5:$I$7,2,FALSE)</x:f>
        <x:v>1</x:v>
      </x:c>
      <x:c r="N126" s="40" t="n">
        <x:f>VLOOKUP(F126,'制度参数'!$K$5:$L$7,2,FALSE)</x:f>
        <x:v>120</x:v>
      </x:c>
      <x:c r="O126" s="42" t="n">
        <x:f>IF(H126&lt;=N126,'制度参数'!$B$21,IF(H126&lt;=N126*'制度参数'!$B$24,'制度参数'!$B$22,'制度参数'!$B$23))</x:f>
        <x:v>0.8</x:v>
      </x:c>
      <x:c r="P126" s="32" t="n">
        <x:f>L126*M126*O126</x:f>
        <x:v>0</x:v>
      </x:c>
      <x:c r="Q126" s="9" t="n">
        <x:f>L126*I126</x:f>
        <x:v>0</x:v>
      </x:c>
      <x:c r="R126" s="40" t="str">
        <x:f>IF(L126=1,"有效计件",IF(J126=1,"人员无计奖资格",IF(OR(C126&lt;'制度参数'!$B$13,C126&gt;'制度参数'!$B$14),"关闭日期不在本月",IF(D126&lt;&gt;"已关闭","非已关闭","复核非有效"))))</x:f>
        <x:v>关闭日期不在本月</x:v>
      </x:c>
    </x:row>
    <x:row r="127" ht="24" customHeight="1">
      <x:c r="A127" s="1" t="str">
        <x:v>T109-004</x:v>
      </x:c>
      <x:c r="B127" s="1" t="str">
        <x:v>CS109</x:v>
      </x:c>
      <x:c r="C127" s="12" t="n">
        <x:v>46296</x:v>
      </x:c>
      <x:c r="D127" s="1" t="str">
        <x:v>已关闭</x:v>
      </x:c>
      <x:c r="E127" s="1" t="str">
        <x:v>有效</x:v>
      </x:c>
      <x:c r="F127" s="1" t="str">
        <x:v>技术</x:v>
      </x:c>
      <x:c r="G127" s="1" t="str">
        <x:v>紧急</x:v>
      </x:c>
      <x:c r="H127" s="14" t="n">
        <x:v>720</x:v>
      </x:c>
      <x:c r="I127" s="1" t="n">
        <x:v>1</x:v>
      </x:c>
      <x:c r="J127" s="39" t="n">
        <x:f>IF(AND(C127&gt;='制度参数'!$B$13,C127&lt;='制度参数'!$B$14,D127="已关闭",E127="有效"),1,0)</x:f>
        <x:v>0</x:v>
      </x:c>
      <x:c r="K127" s="39" t="n">
        <x:f>VLOOKUP(B127,'员工计算'!$A$5:$H$16,8,FALSE)</x:f>
        <x:v>1</x:v>
      </x:c>
      <x:c r="L127" s="1" t="n">
        <x:f>J127*K127</x:f>
        <x:v>0</x:v>
      </x:c>
      <x:c r="M127" s="41" t="n">
        <x:f>VLOOKUP(G127,'制度参数'!$H$5:$I$7,2,FALSE)</x:f>
        <x:v>2</x:v>
      </x:c>
      <x:c r="N127" s="39" t="n">
        <x:f>VLOOKUP(F127,'制度参数'!$K$5:$L$7,2,FALSE)</x:f>
        <x:v>240</x:v>
      </x:c>
      <x:c r="O127" s="41" t="n">
        <x:f>IF(H127&lt;=N127,'制度参数'!$B$21,IF(H127&lt;=N127*'制度参数'!$B$24,'制度参数'!$B$22,'制度参数'!$B$23))</x:f>
        <x:v>0.5</x:v>
      </x:c>
      <x:c r="P127" s="31" t="n">
        <x:f>L127*M127*O127</x:f>
        <x:v>0</x:v>
      </x:c>
      <x:c r="Q127" s="1" t="n">
        <x:f>L127*I127</x:f>
        <x:v>0</x:v>
      </x:c>
      <x:c r="R127" s="39" t="str">
        <x:f>IF(L127=1,"有效计件",IF(J127=1,"人员无计奖资格",IF(OR(C127&lt;'制度参数'!$B$13,C127&gt;'制度参数'!$B$14),"关闭日期不在本月",IF(D127&lt;&gt;"已关闭","非已关闭","复核非有效"))))</x:f>
        <x:v>关闭日期不在本月</x:v>
      </x:c>
    </x:row>
    <x:row r="128" ht="24" customHeight="1">
      <x:c r="A128" s="9" t="str">
        <x:v>T109-005</x:v>
      </x:c>
      <x:c r="B128" s="9" t="str">
        <x:v>CS109</x:v>
      </x:c>
      <x:c r="C128" s="13" t="n">
        <x:v>46282</x:v>
      </x:c>
      <x:c r="D128" s="9" t="str">
        <x:v>已关闭</x:v>
      </x:c>
      <x:c r="E128" s="9" t="str">
        <x:v>待确认</x:v>
      </x:c>
      <x:c r="F128" s="9" t="str">
        <x:v>咨询</x:v>
      </x:c>
      <x:c r="G128" s="9" t="str">
        <x:v>复杂</x:v>
      </x:c>
      <x:c r="H128" s="15" t="n">
        <x:v>30</x:v>
      </x:c>
      <x:c r="I128" s="9" t="n">
        <x:v>0</x:v>
      </x:c>
      <x:c r="J128" s="40" t="n">
        <x:f>IF(AND(C128&gt;='制度参数'!$B$13,C128&lt;='制度参数'!$B$14,D128="已关闭",E128="有效"),1,0)</x:f>
        <x:v>0</x:v>
      </x:c>
      <x:c r="K128" s="40" t="n">
        <x:f>VLOOKUP(B128,'员工计算'!$A$5:$H$16,8,FALSE)</x:f>
        <x:v>1</x:v>
      </x:c>
      <x:c r="L128" s="9" t="n">
        <x:f>J128*K128</x:f>
        <x:v>0</x:v>
      </x:c>
      <x:c r="M128" s="42" t="n">
        <x:f>VLOOKUP(G128,'制度参数'!$H$5:$I$7,2,FALSE)</x:f>
        <x:v>1.5</x:v>
      </x:c>
      <x:c r="N128" s="40" t="n">
        <x:f>VLOOKUP(F128,'制度参数'!$K$5:$L$7,2,FALSE)</x:f>
        <x:v>30</x:v>
      </x:c>
      <x:c r="O128" s="42" t="n">
        <x:f>IF(H128&lt;=N128,'制度参数'!$B$21,IF(H128&lt;=N128*'制度参数'!$B$24,'制度参数'!$B$22,'制度参数'!$B$23))</x:f>
        <x:v>1.1</x:v>
      </x:c>
      <x:c r="P128" s="32" t="n">
        <x:f>L128*M128*O128</x:f>
        <x:v>0</x:v>
      </x:c>
      <x:c r="Q128" s="9" t="n">
        <x:f>L128*I128</x:f>
        <x:v>0</x:v>
      </x:c>
      <x:c r="R128" s="40" t="str">
        <x:f>IF(L128=1,"有效计件",IF(J128=1,"人员无计奖资格",IF(OR(C128&lt;'制度参数'!$B$13,C128&gt;'制度参数'!$B$14),"关闭日期不在本月",IF(D128&lt;&gt;"已关闭","非已关闭","复核非有效"))))</x:f>
        <x:v>复核非有效</x:v>
      </x:c>
    </x:row>
    <x:row r="129" ht="24" customHeight="1">
      <x:c r="A129" s="1" t="str">
        <x:v>T109-006</x:v>
      </x:c>
      <x:c r="B129" s="1" t="str">
        <x:v>CS109</x:v>
      </x:c>
      <x:c r="C129" s="12" t="n">
        <x:v>46284</x:v>
      </x:c>
      <x:c r="D129" s="1" t="str">
        <x:v>已关闭</x:v>
      </x:c>
      <x:c r="E129" s="1" t="str">
        <x:v>无效</x:v>
      </x:c>
      <x:c r="F129" s="1" t="str">
        <x:v>投诉</x:v>
      </x:c>
      <x:c r="G129" s="1" t="str">
        <x:v>普通</x:v>
      </x:c>
      <x:c r="H129" s="14" t="n">
        <x:v>240</x:v>
      </x:c>
      <x:c r="I129" s="1" t="n">
        <x:v>2</x:v>
      </x:c>
      <x:c r="J129" s="39" t="n">
        <x:f>IF(AND(C129&gt;='制度参数'!$B$13,C129&lt;='制度参数'!$B$14,D129="已关闭",E129="有效"),1,0)</x:f>
        <x:v>0</x:v>
      </x:c>
      <x:c r="K129" s="39" t="n">
        <x:f>VLOOKUP(B129,'员工计算'!$A$5:$H$16,8,FALSE)</x:f>
        <x:v>1</x:v>
      </x:c>
      <x:c r="L129" s="1" t="n">
        <x:f>J129*K129</x:f>
        <x:v>0</x:v>
      </x:c>
      <x:c r="M129" s="41" t="n">
        <x:f>VLOOKUP(G129,'制度参数'!$H$5:$I$7,2,FALSE)</x:f>
        <x:v>1</x:v>
      </x:c>
      <x:c r="N129" s="39" t="n">
        <x:f>VLOOKUP(F129,'制度参数'!$K$5:$L$7,2,FALSE)</x:f>
        <x:v>120</x:v>
      </x:c>
      <x:c r="O129" s="41" t="n">
        <x:f>IF(H129&lt;=N129,'制度参数'!$B$21,IF(H129&lt;=N129*'制度参数'!$B$24,'制度参数'!$B$22,'制度参数'!$B$23))</x:f>
        <x:v>0.8</x:v>
      </x:c>
      <x:c r="P129" s="31" t="n">
        <x:f>L129*M129*O129</x:f>
        <x:v>0</x:v>
      </x:c>
      <x:c r="Q129" s="1" t="n">
        <x:f>L129*I129</x:f>
        <x:v>0</x:v>
      </x:c>
      <x:c r="R129" s="39" t="str">
        <x:f>IF(L129=1,"有效计件",IF(J129=1,"人员无计奖资格",IF(OR(C129&lt;'制度参数'!$B$13,C129&gt;'制度参数'!$B$14),"关闭日期不在本月",IF(D129&lt;&gt;"已关闭","非已关闭","复核非有效"))))</x:f>
        <x:v>复核非有效</x:v>
      </x:c>
    </x:row>
    <x:row r="130" ht="24" customHeight="1">
      <x:c r="A130" s="9" t="str">
        <x:v>T110-001</x:v>
      </x:c>
      <x:c r="B130" s="9" t="str">
        <x:v>CS110</x:v>
      </x:c>
      <x:c r="C130" s="13" t="n">
        <x:v>46275</x:v>
      </x:c>
      <x:c r="D130" s="9" t="str">
        <x:v>已关闭</x:v>
      </x:c>
      <x:c r="E130" s="9" t="str">
        <x:v>有效</x:v>
      </x:c>
      <x:c r="F130" s="9" t="str">
        <x:v>咨询</x:v>
      </x:c>
      <x:c r="G130" s="9" t="str">
        <x:v>紧急</x:v>
      </x:c>
      <x:c r="H130" s="15" t="n">
        <x:v>30</x:v>
      </x:c>
      <x:c r="I130" s="9" t="n">
        <x:v>0</x:v>
      </x:c>
      <x:c r="J130" s="40" t="n">
        <x:f>IF(AND(C130&gt;='制度参数'!$B$13,C130&lt;='制度参数'!$B$14,D130="已关闭",E130="有效"),1,0)</x:f>
        <x:v>1</x:v>
      </x:c>
      <x:c r="K130" s="40" t="n">
        <x:f>VLOOKUP(B130,'员工计算'!$A$5:$H$16,8,FALSE)</x:f>
        <x:v>1</x:v>
      </x:c>
      <x:c r="L130" s="9" t="n">
        <x:f>J130*K130</x:f>
        <x:v>1</x:v>
      </x:c>
      <x:c r="M130" s="42" t="n">
        <x:f>VLOOKUP(G130,'制度参数'!$H$5:$I$7,2,FALSE)</x:f>
        <x:v>2</x:v>
      </x:c>
      <x:c r="N130" s="40" t="n">
        <x:f>VLOOKUP(F130,'制度参数'!$K$5:$L$7,2,FALSE)</x:f>
        <x:v>30</x:v>
      </x:c>
      <x:c r="O130" s="42" t="n">
        <x:f>IF(H130&lt;=N130,'制度参数'!$B$21,IF(H130&lt;=N130*'制度参数'!$B$24,'制度参数'!$B$22,'制度参数'!$B$23))</x:f>
        <x:v>1.1</x:v>
      </x:c>
      <x:c r="P130" s="32" t="n">
        <x:f>L130*M130*O130</x:f>
        <x:v>2.2</x:v>
      </x:c>
      <x:c r="Q130" s="9" t="n">
        <x:f>L130*I130</x:f>
        <x:v>0</x:v>
      </x:c>
      <x:c r="R130" s="40" t="str">
        <x:f>IF(L130=1,"有效计件",IF(J130=1,"人员无计奖资格",IF(OR(C130&lt;'制度参数'!$B$13,C130&gt;'制度参数'!$B$14),"关闭日期不在本月",IF(D130&lt;&gt;"已关闭","非已关闭","复核非有效"))))</x:f>
        <x:v>有效计件</x:v>
      </x:c>
    </x:row>
    <x:row r="131" ht="24" customHeight="1">
      <x:c r="A131" s="1" t="str">
        <x:v>T110-002</x:v>
      </x:c>
      <x:c r="B131" s="1" t="str">
        <x:v>CS110</x:v>
      </x:c>
      <x:c r="C131" s="12" t="n">
        <x:v>46277</x:v>
      </x:c>
      <x:c r="D131" s="1" t="str">
        <x:v>已关闭</x:v>
      </x:c>
      <x:c r="E131" s="1" t="str">
        <x:v>有效</x:v>
      </x:c>
      <x:c r="F131" s="1" t="str">
        <x:v>投诉</x:v>
      </x:c>
      <x:c r="G131" s="1" t="str">
        <x:v>紧急</x:v>
      </x:c>
      <x:c r="H131" s="14" t="n">
        <x:v>120</x:v>
      </x:c>
      <x:c r="I131" s="1" t="n">
        <x:v>0</x:v>
      </x:c>
      <x:c r="J131" s="39" t="n">
        <x:f>IF(AND(C131&gt;='制度参数'!$B$13,C131&lt;='制度参数'!$B$14,D131="已关闭",E131="有效"),1,0)</x:f>
        <x:v>1</x:v>
      </x:c>
      <x:c r="K131" s="39" t="n">
        <x:f>VLOOKUP(B131,'员工计算'!$A$5:$H$16,8,FALSE)</x:f>
        <x:v>1</x:v>
      </x:c>
      <x:c r="L131" s="1" t="n">
        <x:f>J131*K131</x:f>
        <x:v>1</x:v>
      </x:c>
      <x:c r="M131" s="41" t="n">
        <x:f>VLOOKUP(G131,'制度参数'!$H$5:$I$7,2,FALSE)</x:f>
        <x:v>2</x:v>
      </x:c>
      <x:c r="N131" s="39" t="n">
        <x:f>VLOOKUP(F131,'制度参数'!$K$5:$L$7,2,FALSE)</x:f>
        <x:v>120</x:v>
      </x:c>
      <x:c r="O131" s="41" t="n">
        <x:f>IF(H131&lt;=N131,'制度参数'!$B$21,IF(H131&lt;=N131*'制度参数'!$B$24,'制度参数'!$B$22,'制度参数'!$B$23))</x:f>
        <x:v>1.1</x:v>
      </x:c>
      <x:c r="P131" s="31" t="n">
        <x:f>L131*M131*O131</x:f>
        <x:v>2.2</x:v>
      </x:c>
      <x:c r="Q131" s="1" t="n">
        <x:f>L131*I131</x:f>
        <x:v>0</x:v>
      </x:c>
      <x:c r="R131" s="39" t="str">
        <x:f>IF(L131=1,"有效计件",IF(J131=1,"人员无计奖资格",IF(OR(C131&lt;'制度参数'!$B$13,C131&gt;'制度参数'!$B$14),"关闭日期不在本月",IF(D131&lt;&gt;"已关闭","非已关闭","复核非有效"))))</x:f>
        <x:v>有效计件</x:v>
      </x:c>
    </x:row>
    <x:row r="132" ht="24" customHeight="1">
      <x:c r="A132" s="9" t="str">
        <x:v>T110-003</x:v>
      </x:c>
      <x:c r="B132" s="9" t="str">
        <x:v>CS110</x:v>
      </x:c>
      <x:c r="C132" s="13" t="n">
        <x:v>46279</x:v>
      </x:c>
      <x:c r="D132" s="9" t="str">
        <x:v>已关闭</x:v>
      </x:c>
      <x:c r="E132" s="9" t="str">
        <x:v>有效</x:v>
      </x:c>
      <x:c r="F132" s="9" t="str">
        <x:v>技术</x:v>
      </x:c>
      <x:c r="G132" s="9" t="str">
        <x:v>紧急</x:v>
      </x:c>
      <x:c r="H132" s="15" t="n">
        <x:v>240</x:v>
      </x:c>
      <x:c r="I132" s="9" t="n">
        <x:v>0</x:v>
      </x:c>
      <x:c r="J132" s="40" t="n">
        <x:f>IF(AND(C132&gt;='制度参数'!$B$13,C132&lt;='制度参数'!$B$14,D132="已关闭",E132="有效"),1,0)</x:f>
        <x:v>1</x:v>
      </x:c>
      <x:c r="K132" s="40" t="n">
        <x:f>VLOOKUP(B132,'员工计算'!$A$5:$H$16,8,FALSE)</x:f>
        <x:v>1</x:v>
      </x:c>
      <x:c r="L132" s="9" t="n">
        <x:f>J132*K132</x:f>
        <x:v>1</x:v>
      </x:c>
      <x:c r="M132" s="42" t="n">
        <x:f>VLOOKUP(G132,'制度参数'!$H$5:$I$7,2,FALSE)</x:f>
        <x:v>2</x:v>
      </x:c>
      <x:c r="N132" s="40" t="n">
        <x:f>VLOOKUP(F132,'制度参数'!$K$5:$L$7,2,FALSE)</x:f>
        <x:v>240</x:v>
      </x:c>
      <x:c r="O132" s="42" t="n">
        <x:f>IF(H132&lt;=N132,'制度参数'!$B$21,IF(H132&lt;=N132*'制度参数'!$B$24,'制度参数'!$B$22,'制度参数'!$B$23))</x:f>
        <x:v>1.1</x:v>
      </x:c>
      <x:c r="P132" s="32" t="n">
        <x:f>L132*M132*O132</x:f>
        <x:v>2.2</x:v>
      </x:c>
      <x:c r="Q132" s="9" t="n">
        <x:f>L132*I132</x:f>
        <x:v>0</x:v>
      </x:c>
      <x:c r="R132" s="40" t="str">
        <x:f>IF(L132=1,"有效计件",IF(J132=1,"人员无计奖资格",IF(OR(C132&lt;'制度参数'!$B$13,C132&gt;'制度参数'!$B$14),"关闭日期不在本月",IF(D132&lt;&gt;"已关闭","非已关闭","复核非有效"))))</x:f>
        <x:v>有效计件</x:v>
      </x:c>
    </x:row>
    <x:row r="133" ht="24" customHeight="1">
      <x:c r="A133" s="1" t="str">
        <x:v>T110-004</x:v>
      </x:c>
      <x:c r="B133" s="1" t="str">
        <x:v>CS110</x:v>
      </x:c>
      <x:c r="C133" s="12" t="n">
        <x:v>46281</x:v>
      </x:c>
      <x:c r="D133" s="1" t="str">
        <x:v>已关闭</x:v>
      </x:c>
      <x:c r="E133" s="1" t="str">
        <x:v>有效</x:v>
      </x:c>
      <x:c r="F133" s="1" t="str">
        <x:v>咨询</x:v>
      </x:c>
      <x:c r="G133" s="1" t="str">
        <x:v>紧急</x:v>
      </x:c>
      <x:c r="H133" s="14" t="n">
        <x:v>30</x:v>
      </x:c>
      <x:c r="I133" s="1" t="n">
        <x:v>0</x:v>
      </x:c>
      <x:c r="J133" s="39" t="n">
        <x:f>IF(AND(C133&gt;='制度参数'!$B$13,C133&lt;='制度参数'!$B$14,D133="已关闭",E133="有效"),1,0)</x:f>
        <x:v>1</x:v>
      </x:c>
      <x:c r="K133" s="39" t="n">
        <x:f>VLOOKUP(B133,'员工计算'!$A$5:$H$16,8,FALSE)</x:f>
        <x:v>1</x:v>
      </x:c>
      <x:c r="L133" s="1" t="n">
        <x:f>J133*K133</x:f>
        <x:v>1</x:v>
      </x:c>
      <x:c r="M133" s="41" t="n">
        <x:f>VLOOKUP(G133,'制度参数'!$H$5:$I$7,2,FALSE)</x:f>
        <x:v>2</x:v>
      </x:c>
      <x:c r="N133" s="39" t="n">
        <x:f>VLOOKUP(F133,'制度参数'!$K$5:$L$7,2,FALSE)</x:f>
        <x:v>30</x:v>
      </x:c>
      <x:c r="O133" s="41" t="n">
        <x:f>IF(H133&lt;=N133,'制度参数'!$B$21,IF(H133&lt;=N133*'制度参数'!$B$24,'制度参数'!$B$22,'制度参数'!$B$23))</x:f>
        <x:v>1.1</x:v>
      </x:c>
      <x:c r="P133" s="31" t="n">
        <x:f>L133*M133*O133</x:f>
        <x:v>2.2</x:v>
      </x:c>
      <x:c r="Q133" s="1" t="n">
        <x:f>L133*I133</x:f>
        <x:v>0</x:v>
      </x:c>
      <x:c r="R133" s="39" t="str">
        <x:f>IF(L133=1,"有效计件",IF(J133=1,"人员无计奖资格",IF(OR(C133&lt;'制度参数'!$B$13,C133&gt;'制度参数'!$B$14),"关闭日期不在本月",IF(D133&lt;&gt;"已关闭","非已关闭","复核非有效"))))</x:f>
        <x:v>有效计件</x:v>
      </x:c>
    </x:row>
    <x:row r="134" ht="24" customHeight="1">
      <x:c r="A134" s="9" t="str">
        <x:v>T110-005</x:v>
      </x:c>
      <x:c r="B134" s="9" t="str">
        <x:v>CS110</x:v>
      </x:c>
      <x:c r="C134" s="13" t="n">
        <x:v>46283</x:v>
      </x:c>
      <x:c r="D134" s="9" t="str">
        <x:v>已关闭</x:v>
      </x:c>
      <x:c r="E134" s="9" t="str">
        <x:v>有效</x:v>
      </x:c>
      <x:c r="F134" s="9" t="str">
        <x:v>投诉</x:v>
      </x:c>
      <x:c r="G134" s="9" t="str">
        <x:v>紧急</x:v>
      </x:c>
      <x:c r="H134" s="15" t="n">
        <x:v>120</x:v>
      </x:c>
      <x:c r="I134" s="9" t="n">
        <x:v>0</x:v>
      </x:c>
      <x:c r="J134" s="40" t="n">
        <x:f>IF(AND(C134&gt;='制度参数'!$B$13,C134&lt;='制度参数'!$B$14,D134="已关闭",E134="有效"),1,0)</x:f>
        <x:v>1</x:v>
      </x:c>
      <x:c r="K134" s="40" t="n">
        <x:f>VLOOKUP(B134,'员工计算'!$A$5:$H$16,8,FALSE)</x:f>
        <x:v>1</x:v>
      </x:c>
      <x:c r="L134" s="9" t="n">
        <x:f>J134*K134</x:f>
        <x:v>1</x:v>
      </x:c>
      <x:c r="M134" s="42" t="n">
        <x:f>VLOOKUP(G134,'制度参数'!$H$5:$I$7,2,FALSE)</x:f>
        <x:v>2</x:v>
      </x:c>
      <x:c r="N134" s="40" t="n">
        <x:f>VLOOKUP(F134,'制度参数'!$K$5:$L$7,2,FALSE)</x:f>
        <x:v>120</x:v>
      </x:c>
      <x:c r="O134" s="42" t="n">
        <x:f>IF(H134&lt;=N134,'制度参数'!$B$21,IF(H134&lt;=N134*'制度参数'!$B$24,'制度参数'!$B$22,'制度参数'!$B$23))</x:f>
        <x:v>1.1</x:v>
      </x:c>
      <x:c r="P134" s="32" t="n">
        <x:f>L134*M134*O134</x:f>
        <x:v>2.2</x:v>
      </x:c>
      <x:c r="Q134" s="9" t="n">
        <x:f>L134*I134</x:f>
        <x:v>0</x:v>
      </x:c>
      <x:c r="R134" s="40" t="str">
        <x:f>IF(L134=1,"有效计件",IF(J134=1,"人员无计奖资格",IF(OR(C134&lt;'制度参数'!$B$13,C134&gt;'制度参数'!$B$14),"关闭日期不在本月",IF(D134&lt;&gt;"已关闭","非已关闭","复核非有效"))))</x:f>
        <x:v>有效计件</x:v>
      </x:c>
    </x:row>
    <x:row r="135" ht="24" customHeight="1">
      <x:c r="A135" s="1" t="str">
        <x:v>T110-006</x:v>
      </x:c>
      <x:c r="B135" s="1" t="str">
        <x:v>CS110</x:v>
      </x:c>
      <x:c r="C135" s="12" t="n">
        <x:v>46285</x:v>
      </x:c>
      <x:c r="D135" s="1" t="str">
        <x:v>已关闭</x:v>
      </x:c>
      <x:c r="E135" s="1" t="str">
        <x:v>有效</x:v>
      </x:c>
      <x:c r="F135" s="1" t="str">
        <x:v>技术</x:v>
      </x:c>
      <x:c r="G135" s="1" t="str">
        <x:v>紧急</x:v>
      </x:c>
      <x:c r="H135" s="14" t="n">
        <x:v>240</x:v>
      </x:c>
      <x:c r="I135" s="1" t="n">
        <x:v>0</x:v>
      </x:c>
      <x:c r="J135" s="39" t="n">
        <x:f>IF(AND(C135&gt;='制度参数'!$B$13,C135&lt;='制度参数'!$B$14,D135="已关闭",E135="有效"),1,0)</x:f>
        <x:v>1</x:v>
      </x:c>
      <x:c r="K135" s="39" t="n">
        <x:f>VLOOKUP(B135,'员工计算'!$A$5:$H$16,8,FALSE)</x:f>
        <x:v>1</x:v>
      </x:c>
      <x:c r="L135" s="1" t="n">
        <x:f>J135*K135</x:f>
        <x:v>1</x:v>
      </x:c>
      <x:c r="M135" s="41" t="n">
        <x:f>VLOOKUP(G135,'制度参数'!$H$5:$I$7,2,FALSE)</x:f>
        <x:v>2</x:v>
      </x:c>
      <x:c r="N135" s="39" t="n">
        <x:f>VLOOKUP(F135,'制度参数'!$K$5:$L$7,2,FALSE)</x:f>
        <x:v>240</x:v>
      </x:c>
      <x:c r="O135" s="41" t="n">
        <x:f>IF(H135&lt;=N135,'制度参数'!$B$21,IF(H135&lt;=N135*'制度参数'!$B$24,'制度参数'!$B$22,'制度参数'!$B$23))</x:f>
        <x:v>1.1</x:v>
      </x:c>
      <x:c r="P135" s="31" t="n">
        <x:f>L135*M135*O135</x:f>
        <x:v>2.2</x:v>
      </x:c>
      <x:c r="Q135" s="1" t="n">
        <x:f>L135*I135</x:f>
        <x:v>0</x:v>
      </x:c>
      <x:c r="R135" s="39" t="str">
        <x:f>IF(L135=1,"有效计件",IF(J135=1,"人员无计奖资格",IF(OR(C135&lt;'制度参数'!$B$13,C135&gt;'制度参数'!$B$14),"关闭日期不在本月",IF(D135&lt;&gt;"已关闭","非已关闭","复核非有效"))))</x:f>
        <x:v>有效计件</x:v>
      </x:c>
    </x:row>
    <x:row r="136" ht="24" customHeight="1">
      <x:c r="A136" s="9" t="str">
        <x:v>T110-007</x:v>
      </x:c>
      <x:c r="B136" s="9" t="str">
        <x:v>CS110</x:v>
      </x:c>
      <x:c r="C136" s="13" t="n">
        <x:v>46287</x:v>
      </x:c>
      <x:c r="D136" s="9" t="str">
        <x:v>已关闭</x:v>
      </x:c>
      <x:c r="E136" s="9" t="str">
        <x:v>有效</x:v>
      </x:c>
      <x:c r="F136" s="9" t="str">
        <x:v>咨询</x:v>
      </x:c>
      <x:c r="G136" s="9" t="str">
        <x:v>紧急</x:v>
      </x:c>
      <x:c r="H136" s="15" t="n">
        <x:v>30</x:v>
      </x:c>
      <x:c r="I136" s="9" t="n">
        <x:v>0</x:v>
      </x:c>
      <x:c r="J136" s="40" t="n">
        <x:f>IF(AND(C136&gt;='制度参数'!$B$13,C136&lt;='制度参数'!$B$14,D136="已关闭",E136="有效"),1,0)</x:f>
        <x:v>1</x:v>
      </x:c>
      <x:c r="K136" s="40" t="n">
        <x:f>VLOOKUP(B136,'员工计算'!$A$5:$H$16,8,FALSE)</x:f>
        <x:v>1</x:v>
      </x:c>
      <x:c r="L136" s="9" t="n">
        <x:f>J136*K136</x:f>
        <x:v>1</x:v>
      </x:c>
      <x:c r="M136" s="42" t="n">
        <x:f>VLOOKUP(G136,'制度参数'!$H$5:$I$7,2,FALSE)</x:f>
        <x:v>2</x:v>
      </x:c>
      <x:c r="N136" s="40" t="n">
        <x:f>VLOOKUP(F136,'制度参数'!$K$5:$L$7,2,FALSE)</x:f>
        <x:v>30</x:v>
      </x:c>
      <x:c r="O136" s="42" t="n">
        <x:f>IF(H136&lt;=N136,'制度参数'!$B$21,IF(H136&lt;=N136*'制度参数'!$B$24,'制度参数'!$B$22,'制度参数'!$B$23))</x:f>
        <x:v>1.1</x:v>
      </x:c>
      <x:c r="P136" s="32" t="n">
        <x:f>L136*M136*O136</x:f>
        <x:v>2.2</x:v>
      </x:c>
      <x:c r="Q136" s="9" t="n">
        <x:f>L136*I136</x:f>
        <x:v>0</x:v>
      </x:c>
      <x:c r="R136" s="40" t="str">
        <x:f>IF(L136=1,"有效计件",IF(J136=1,"人员无计奖资格",IF(OR(C136&lt;'制度参数'!$B$13,C136&gt;'制度参数'!$B$14),"关闭日期不在本月",IF(D136&lt;&gt;"已关闭","非已关闭","复核非有效"))))</x:f>
        <x:v>有效计件</x:v>
      </x:c>
    </x:row>
    <x:row r="137" ht="24" customHeight="1">
      <x:c r="A137" s="1" t="str">
        <x:v>T110-008</x:v>
      </x:c>
      <x:c r="B137" s="1" t="str">
        <x:v>CS110</x:v>
      </x:c>
      <x:c r="C137" s="12" t="n">
        <x:v>46289</x:v>
      </x:c>
      <x:c r="D137" s="1" t="str">
        <x:v>已关闭</x:v>
      </x:c>
      <x:c r="E137" s="1" t="str">
        <x:v>有效</x:v>
      </x:c>
      <x:c r="F137" s="1" t="str">
        <x:v>投诉</x:v>
      </x:c>
      <x:c r="G137" s="1" t="str">
        <x:v>紧急</x:v>
      </x:c>
      <x:c r="H137" s="14" t="n">
        <x:v>120</x:v>
      </x:c>
      <x:c r="I137" s="1" t="n">
        <x:v>0</x:v>
      </x:c>
      <x:c r="J137" s="39" t="n">
        <x:f>IF(AND(C137&gt;='制度参数'!$B$13,C137&lt;='制度参数'!$B$14,D137="已关闭",E137="有效"),1,0)</x:f>
        <x:v>1</x:v>
      </x:c>
      <x:c r="K137" s="39" t="n">
        <x:f>VLOOKUP(B137,'员工计算'!$A$5:$H$16,8,FALSE)</x:f>
        <x:v>1</x:v>
      </x:c>
      <x:c r="L137" s="1" t="n">
        <x:f>J137*K137</x:f>
        <x:v>1</x:v>
      </x:c>
      <x:c r="M137" s="41" t="n">
        <x:f>VLOOKUP(G137,'制度参数'!$H$5:$I$7,2,FALSE)</x:f>
        <x:v>2</x:v>
      </x:c>
      <x:c r="N137" s="39" t="n">
        <x:f>VLOOKUP(F137,'制度参数'!$K$5:$L$7,2,FALSE)</x:f>
        <x:v>120</x:v>
      </x:c>
      <x:c r="O137" s="41" t="n">
        <x:f>IF(H137&lt;=N137,'制度参数'!$B$21,IF(H137&lt;=N137*'制度参数'!$B$24,'制度参数'!$B$22,'制度参数'!$B$23))</x:f>
        <x:v>1.1</x:v>
      </x:c>
      <x:c r="P137" s="31" t="n">
        <x:f>L137*M137*O137</x:f>
        <x:v>2.2</x:v>
      </x:c>
      <x:c r="Q137" s="1" t="n">
        <x:f>L137*I137</x:f>
        <x:v>0</x:v>
      </x:c>
      <x:c r="R137" s="39" t="str">
        <x:f>IF(L137=1,"有效计件",IF(J137=1,"人员无计奖资格",IF(OR(C137&lt;'制度参数'!$B$13,C137&gt;'制度参数'!$B$14),"关闭日期不在本月",IF(D137&lt;&gt;"已关闭","非已关闭","复核非有效"))))</x:f>
        <x:v>有效计件</x:v>
      </x:c>
    </x:row>
    <x:row r="138" ht="24" customHeight="1">
      <x:c r="A138" s="9" t="str">
        <x:v>T110-009</x:v>
      </x:c>
      <x:c r="B138" s="9" t="str">
        <x:v>CS110</x:v>
      </x:c>
      <x:c r="C138" s="13" t="n">
        <x:v>46291</x:v>
      </x:c>
      <x:c r="D138" s="9" t="str">
        <x:v>已关闭</x:v>
      </x:c>
      <x:c r="E138" s="9" t="str">
        <x:v>有效</x:v>
      </x:c>
      <x:c r="F138" s="9" t="str">
        <x:v>技术</x:v>
      </x:c>
      <x:c r="G138" s="9" t="str">
        <x:v>紧急</x:v>
      </x:c>
      <x:c r="H138" s="15" t="n">
        <x:v>240</x:v>
      </x:c>
      <x:c r="I138" s="9" t="n">
        <x:v>0</x:v>
      </x:c>
      <x:c r="J138" s="40" t="n">
        <x:f>IF(AND(C138&gt;='制度参数'!$B$13,C138&lt;='制度参数'!$B$14,D138="已关闭",E138="有效"),1,0)</x:f>
        <x:v>1</x:v>
      </x:c>
      <x:c r="K138" s="40" t="n">
        <x:f>VLOOKUP(B138,'员工计算'!$A$5:$H$16,8,FALSE)</x:f>
        <x:v>1</x:v>
      </x:c>
      <x:c r="L138" s="9" t="n">
        <x:f>J138*K138</x:f>
        <x:v>1</x:v>
      </x:c>
      <x:c r="M138" s="42" t="n">
        <x:f>VLOOKUP(G138,'制度参数'!$H$5:$I$7,2,FALSE)</x:f>
        <x:v>2</x:v>
      </x:c>
      <x:c r="N138" s="40" t="n">
        <x:f>VLOOKUP(F138,'制度参数'!$K$5:$L$7,2,FALSE)</x:f>
        <x:v>240</x:v>
      </x:c>
      <x:c r="O138" s="42" t="n">
        <x:f>IF(H138&lt;=N138,'制度参数'!$B$21,IF(H138&lt;=N138*'制度参数'!$B$24,'制度参数'!$B$22,'制度参数'!$B$23))</x:f>
        <x:v>1.1</x:v>
      </x:c>
      <x:c r="P138" s="32" t="n">
        <x:f>L138*M138*O138</x:f>
        <x:v>2.2</x:v>
      </x:c>
      <x:c r="Q138" s="9" t="n">
        <x:f>L138*I138</x:f>
        <x:v>0</x:v>
      </x:c>
      <x:c r="R138" s="40" t="str">
        <x:f>IF(L138=1,"有效计件",IF(J138=1,"人员无计奖资格",IF(OR(C138&lt;'制度参数'!$B$13,C138&gt;'制度参数'!$B$14),"关闭日期不在本月",IF(D138&lt;&gt;"已关闭","非已关闭","复核非有效"))))</x:f>
        <x:v>有效计件</x:v>
      </x:c>
    </x:row>
    <x:row r="139" ht="24" customHeight="1">
      <x:c r="A139" s="1" t="str">
        <x:v>T110-010</x:v>
      </x:c>
      <x:c r="B139" s="1" t="str">
        <x:v>CS110</x:v>
      </x:c>
      <x:c r="C139" s="12" t="n">
        <x:v>46293</x:v>
      </x:c>
      <x:c r="D139" s="1" t="str">
        <x:v>已关闭</x:v>
      </x:c>
      <x:c r="E139" s="1" t="str">
        <x:v>有效</x:v>
      </x:c>
      <x:c r="F139" s="1" t="str">
        <x:v>咨询</x:v>
      </x:c>
      <x:c r="G139" s="1" t="str">
        <x:v>紧急</x:v>
      </x:c>
      <x:c r="H139" s="14" t="n">
        <x:v>30</x:v>
      </x:c>
      <x:c r="I139" s="1" t="n">
        <x:v>0</x:v>
      </x:c>
      <x:c r="J139" s="39" t="n">
        <x:f>IF(AND(C139&gt;='制度参数'!$B$13,C139&lt;='制度参数'!$B$14,D139="已关闭",E139="有效"),1,0)</x:f>
        <x:v>1</x:v>
      </x:c>
      <x:c r="K139" s="39" t="n">
        <x:f>VLOOKUP(B139,'员工计算'!$A$5:$H$16,8,FALSE)</x:f>
        <x:v>1</x:v>
      </x:c>
      <x:c r="L139" s="1" t="n">
        <x:f>J139*K139</x:f>
        <x:v>1</x:v>
      </x:c>
      <x:c r="M139" s="41" t="n">
        <x:f>VLOOKUP(G139,'制度参数'!$H$5:$I$7,2,FALSE)</x:f>
        <x:v>2</x:v>
      </x:c>
      <x:c r="N139" s="39" t="n">
        <x:f>VLOOKUP(F139,'制度参数'!$K$5:$L$7,2,FALSE)</x:f>
        <x:v>30</x:v>
      </x:c>
      <x:c r="O139" s="41" t="n">
        <x:f>IF(H139&lt;=N139,'制度参数'!$B$21,IF(H139&lt;=N139*'制度参数'!$B$24,'制度参数'!$B$22,'制度参数'!$B$23))</x:f>
        <x:v>1.1</x:v>
      </x:c>
      <x:c r="P139" s="31" t="n">
        <x:f>L139*M139*O139</x:f>
        <x:v>2.2</x:v>
      </x:c>
      <x:c r="Q139" s="1" t="n">
        <x:f>L139*I139</x:f>
        <x:v>0</x:v>
      </x:c>
      <x:c r="R139" s="39" t="str">
        <x:f>IF(L139=1,"有效计件",IF(J139=1,"人员无计奖资格",IF(OR(C139&lt;'制度参数'!$B$13,C139&gt;'制度参数'!$B$14),"关闭日期不在本月",IF(D139&lt;&gt;"已关闭","非已关闭","复核非有效"))))</x:f>
        <x:v>有效计件</x:v>
      </x:c>
    </x:row>
    <x:row r="140" ht="24" customHeight="1">
      <x:c r="A140" s="9" t="str">
        <x:v>T110-011</x:v>
      </x:c>
      <x:c r="B140" s="9" t="str">
        <x:v>CS110</x:v>
      </x:c>
      <x:c r="C140" s="13" t="n">
        <x:v>46295</x:v>
      </x:c>
      <x:c r="D140" s="9" t="str">
        <x:v>已关闭</x:v>
      </x:c>
      <x:c r="E140" s="9" t="str">
        <x:v>有效</x:v>
      </x:c>
      <x:c r="F140" s="9" t="str">
        <x:v>投诉</x:v>
      </x:c>
      <x:c r="G140" s="9" t="str">
        <x:v>紧急</x:v>
      </x:c>
      <x:c r="H140" s="15" t="n">
        <x:v>120</x:v>
      </x:c>
      <x:c r="I140" s="9" t="n">
        <x:v>0</x:v>
      </x:c>
      <x:c r="J140" s="40" t="n">
        <x:f>IF(AND(C140&gt;='制度参数'!$B$13,C140&lt;='制度参数'!$B$14,D140="已关闭",E140="有效"),1,0)</x:f>
        <x:v>1</x:v>
      </x:c>
      <x:c r="K140" s="40" t="n">
        <x:f>VLOOKUP(B140,'员工计算'!$A$5:$H$16,8,FALSE)</x:f>
        <x:v>1</x:v>
      </x:c>
      <x:c r="L140" s="9" t="n">
        <x:f>J140*K140</x:f>
        <x:v>1</x:v>
      </x:c>
      <x:c r="M140" s="42" t="n">
        <x:f>VLOOKUP(G140,'制度参数'!$H$5:$I$7,2,FALSE)</x:f>
        <x:v>2</x:v>
      </x:c>
      <x:c r="N140" s="40" t="n">
        <x:f>VLOOKUP(F140,'制度参数'!$K$5:$L$7,2,FALSE)</x:f>
        <x:v>120</x:v>
      </x:c>
      <x:c r="O140" s="42" t="n">
        <x:f>IF(H140&lt;=N140,'制度参数'!$B$21,IF(H140&lt;=N140*'制度参数'!$B$24,'制度参数'!$B$22,'制度参数'!$B$23))</x:f>
        <x:v>1.1</x:v>
      </x:c>
      <x:c r="P140" s="32" t="n">
        <x:f>L140*M140*O140</x:f>
        <x:v>2.2</x:v>
      </x:c>
      <x:c r="Q140" s="9" t="n">
        <x:f>L140*I140</x:f>
        <x:v>0</x:v>
      </x:c>
      <x:c r="R140" s="40" t="str">
        <x:f>IF(L140=1,"有效计件",IF(J140=1,"人员无计奖资格",IF(OR(C140&lt;'制度参数'!$B$13,C140&gt;'制度参数'!$B$14),"关闭日期不在本月",IF(D140&lt;&gt;"已关闭","非已关闭","复核非有效"))))</x:f>
        <x:v>有效计件</x:v>
      </x:c>
    </x:row>
    <x:row r="141" ht="24" customHeight="1">
      <x:c r="A141" s="1" t="str">
        <x:v>T110-012</x:v>
      </x:c>
      <x:c r="B141" s="1" t="str">
        <x:v>CS110</x:v>
      </x:c>
      <x:c r="C141" s="12" t="n">
        <x:v>46267</x:v>
      </x:c>
      <x:c r="D141" s="1" t="str">
        <x:v>已关闭</x:v>
      </x:c>
      <x:c r="E141" s="1" t="str">
        <x:v>有效</x:v>
      </x:c>
      <x:c r="F141" s="1" t="str">
        <x:v>技术</x:v>
      </x:c>
      <x:c r="G141" s="1" t="str">
        <x:v>紧急</x:v>
      </x:c>
      <x:c r="H141" s="14" t="n">
        <x:v>240</x:v>
      </x:c>
      <x:c r="I141" s="1" t="n">
        <x:v>0</x:v>
      </x:c>
      <x:c r="J141" s="39" t="n">
        <x:f>IF(AND(C141&gt;='制度参数'!$B$13,C141&lt;='制度参数'!$B$14,D141="已关闭",E141="有效"),1,0)</x:f>
        <x:v>1</x:v>
      </x:c>
      <x:c r="K141" s="39" t="n">
        <x:f>VLOOKUP(B141,'员工计算'!$A$5:$H$16,8,FALSE)</x:f>
        <x:v>1</x:v>
      </x:c>
      <x:c r="L141" s="1" t="n">
        <x:f>J141*K141</x:f>
        <x:v>1</x:v>
      </x:c>
      <x:c r="M141" s="41" t="n">
        <x:f>VLOOKUP(G141,'制度参数'!$H$5:$I$7,2,FALSE)</x:f>
        <x:v>2</x:v>
      </x:c>
      <x:c r="N141" s="39" t="n">
        <x:f>VLOOKUP(F141,'制度参数'!$K$5:$L$7,2,FALSE)</x:f>
        <x:v>240</x:v>
      </x:c>
      <x:c r="O141" s="41" t="n">
        <x:f>IF(H141&lt;=N141,'制度参数'!$B$21,IF(H141&lt;=N141*'制度参数'!$B$24,'制度参数'!$B$22,'制度参数'!$B$23))</x:f>
        <x:v>1.1</x:v>
      </x:c>
      <x:c r="P141" s="31" t="n">
        <x:f>L141*M141*O141</x:f>
        <x:v>2.2</x:v>
      </x:c>
      <x:c r="Q141" s="1" t="n">
        <x:f>L141*I141</x:f>
        <x:v>0</x:v>
      </x:c>
      <x:c r="R141" s="39" t="str">
        <x:f>IF(L141=1,"有效计件",IF(J141=1,"人员无计奖资格",IF(OR(C141&lt;'制度参数'!$B$13,C141&gt;'制度参数'!$B$14),"关闭日期不在本月",IF(D141&lt;&gt;"已关闭","非已关闭","复核非有效"))))</x:f>
        <x:v>有效计件</x:v>
      </x:c>
    </x:row>
    <x:row r="142" ht="24" customHeight="1">
      <x:c r="A142" s="9" t="str">
        <x:v>T110-013</x:v>
      </x:c>
      <x:c r="B142" s="9" t="str">
        <x:v>CS110</x:v>
      </x:c>
      <x:c r="C142" s="13" t="n">
        <x:v>46269</x:v>
      </x:c>
      <x:c r="D142" s="9" t="str">
        <x:v>已关闭</x:v>
      </x:c>
      <x:c r="E142" s="9" t="str">
        <x:v>有效</x:v>
      </x:c>
      <x:c r="F142" s="9" t="str">
        <x:v>咨询</x:v>
      </x:c>
      <x:c r="G142" s="9" t="str">
        <x:v>紧急</x:v>
      </x:c>
      <x:c r="H142" s="15" t="n">
        <x:v>30</x:v>
      </x:c>
      <x:c r="I142" s="9" t="n">
        <x:v>0</x:v>
      </x:c>
      <x:c r="J142" s="40" t="n">
        <x:f>IF(AND(C142&gt;='制度参数'!$B$13,C142&lt;='制度参数'!$B$14,D142="已关闭",E142="有效"),1,0)</x:f>
        <x:v>1</x:v>
      </x:c>
      <x:c r="K142" s="40" t="n">
        <x:f>VLOOKUP(B142,'员工计算'!$A$5:$H$16,8,FALSE)</x:f>
        <x:v>1</x:v>
      </x:c>
      <x:c r="L142" s="9" t="n">
        <x:f>J142*K142</x:f>
        <x:v>1</x:v>
      </x:c>
      <x:c r="M142" s="42" t="n">
        <x:f>VLOOKUP(G142,'制度参数'!$H$5:$I$7,2,FALSE)</x:f>
        <x:v>2</x:v>
      </x:c>
      <x:c r="N142" s="40" t="n">
        <x:f>VLOOKUP(F142,'制度参数'!$K$5:$L$7,2,FALSE)</x:f>
        <x:v>30</x:v>
      </x:c>
      <x:c r="O142" s="42" t="n">
        <x:f>IF(H142&lt;=N142,'制度参数'!$B$21,IF(H142&lt;=N142*'制度参数'!$B$24,'制度参数'!$B$22,'制度参数'!$B$23))</x:f>
        <x:v>1.1</x:v>
      </x:c>
      <x:c r="P142" s="32" t="n">
        <x:f>L142*M142*O142</x:f>
        <x:v>2.2</x:v>
      </x:c>
      <x:c r="Q142" s="9" t="n">
        <x:f>L142*I142</x:f>
        <x:v>0</x:v>
      </x:c>
      <x:c r="R142" s="40" t="str">
        <x:f>IF(L142=1,"有效计件",IF(J142=1,"人员无计奖资格",IF(OR(C142&lt;'制度参数'!$B$13,C142&gt;'制度参数'!$B$14),"关闭日期不在本月",IF(D142&lt;&gt;"已关闭","非已关闭","复核非有效"))))</x:f>
        <x:v>有效计件</x:v>
      </x:c>
    </x:row>
    <x:row r="143" ht="24" customHeight="1">
      <x:c r="A143" s="1" t="str">
        <x:v>T110-014</x:v>
      </x:c>
      <x:c r="B143" s="1" t="str">
        <x:v>CS110</x:v>
      </x:c>
      <x:c r="C143" s="12" t="n">
        <x:v>46271</x:v>
      </x:c>
      <x:c r="D143" s="1" t="str">
        <x:v>已关闭</x:v>
      </x:c>
      <x:c r="E143" s="1" t="str">
        <x:v>有效</x:v>
      </x:c>
      <x:c r="F143" s="1" t="str">
        <x:v>投诉</x:v>
      </x:c>
      <x:c r="G143" s="1" t="str">
        <x:v>紧急</x:v>
      </x:c>
      <x:c r="H143" s="14" t="n">
        <x:v>120</x:v>
      </x:c>
      <x:c r="I143" s="1" t="n">
        <x:v>0</x:v>
      </x:c>
      <x:c r="J143" s="39" t="n">
        <x:f>IF(AND(C143&gt;='制度参数'!$B$13,C143&lt;='制度参数'!$B$14,D143="已关闭",E143="有效"),1,0)</x:f>
        <x:v>1</x:v>
      </x:c>
      <x:c r="K143" s="39" t="n">
        <x:f>VLOOKUP(B143,'员工计算'!$A$5:$H$16,8,FALSE)</x:f>
        <x:v>1</x:v>
      </x:c>
      <x:c r="L143" s="1" t="n">
        <x:f>J143*K143</x:f>
        <x:v>1</x:v>
      </x:c>
      <x:c r="M143" s="41" t="n">
        <x:f>VLOOKUP(G143,'制度参数'!$H$5:$I$7,2,FALSE)</x:f>
        <x:v>2</x:v>
      </x:c>
      <x:c r="N143" s="39" t="n">
        <x:f>VLOOKUP(F143,'制度参数'!$K$5:$L$7,2,FALSE)</x:f>
        <x:v>120</x:v>
      </x:c>
      <x:c r="O143" s="41" t="n">
        <x:f>IF(H143&lt;=N143,'制度参数'!$B$21,IF(H143&lt;=N143*'制度参数'!$B$24,'制度参数'!$B$22,'制度参数'!$B$23))</x:f>
        <x:v>1.1</x:v>
      </x:c>
      <x:c r="P143" s="31" t="n">
        <x:f>L143*M143*O143</x:f>
        <x:v>2.2</x:v>
      </x:c>
      <x:c r="Q143" s="1" t="n">
        <x:f>L143*I143</x:f>
        <x:v>0</x:v>
      </x:c>
      <x:c r="R143" s="39" t="str">
        <x:f>IF(L143=1,"有效计件",IF(J143=1,"人员无计奖资格",IF(OR(C143&lt;'制度参数'!$B$13,C143&gt;'制度参数'!$B$14),"关闭日期不在本月",IF(D143&lt;&gt;"已关闭","非已关闭","复核非有效"))))</x:f>
        <x:v>有效计件</x:v>
      </x:c>
    </x:row>
    <x:row r="144" ht="24" customHeight="1">
      <x:c r="A144" s="9" t="str">
        <x:v>T110-015</x:v>
      </x:c>
      <x:c r="B144" s="9" t="str">
        <x:v>CS110</x:v>
      </x:c>
      <x:c r="C144" s="13" t="n">
        <x:v>46273</x:v>
      </x:c>
      <x:c r="D144" s="9" t="str">
        <x:v>已关闭</x:v>
      </x:c>
      <x:c r="E144" s="9" t="str">
        <x:v>有效</x:v>
      </x:c>
      <x:c r="F144" s="9" t="str">
        <x:v>技术</x:v>
      </x:c>
      <x:c r="G144" s="9" t="str">
        <x:v>紧急</x:v>
      </x:c>
      <x:c r="H144" s="15" t="n">
        <x:v>240</x:v>
      </x:c>
      <x:c r="I144" s="9" t="n">
        <x:v>0</x:v>
      </x:c>
      <x:c r="J144" s="40" t="n">
        <x:f>IF(AND(C144&gt;='制度参数'!$B$13,C144&lt;='制度参数'!$B$14,D144="已关闭",E144="有效"),1,0)</x:f>
        <x:v>1</x:v>
      </x:c>
      <x:c r="K144" s="40" t="n">
        <x:f>VLOOKUP(B144,'员工计算'!$A$5:$H$16,8,FALSE)</x:f>
        <x:v>1</x:v>
      </x:c>
      <x:c r="L144" s="9" t="n">
        <x:f>J144*K144</x:f>
        <x:v>1</x:v>
      </x:c>
      <x:c r="M144" s="42" t="n">
        <x:f>VLOOKUP(G144,'制度参数'!$H$5:$I$7,2,FALSE)</x:f>
        <x:v>2</x:v>
      </x:c>
      <x:c r="N144" s="40" t="n">
        <x:f>VLOOKUP(F144,'制度参数'!$K$5:$L$7,2,FALSE)</x:f>
        <x:v>240</x:v>
      </x:c>
      <x:c r="O144" s="42" t="n">
        <x:f>IF(H144&lt;=N144,'制度参数'!$B$21,IF(H144&lt;=N144*'制度参数'!$B$24,'制度参数'!$B$22,'制度参数'!$B$23))</x:f>
        <x:v>1.1</x:v>
      </x:c>
      <x:c r="P144" s="32" t="n">
        <x:f>L144*M144*O144</x:f>
        <x:v>2.2</x:v>
      </x:c>
      <x:c r="Q144" s="9" t="n">
        <x:f>L144*I144</x:f>
        <x:v>0</x:v>
      </x:c>
      <x:c r="R144" s="40" t="str">
        <x:f>IF(L144=1,"有效计件",IF(J144=1,"人员无计奖资格",IF(OR(C144&lt;'制度参数'!$B$13,C144&gt;'制度参数'!$B$14),"关闭日期不在本月",IF(D144&lt;&gt;"已关闭","非已关闭","复核非有效"))))</x:f>
        <x:v>有效计件</x:v>
      </x:c>
    </x:row>
    <x:row r="145" ht="24" customHeight="1">
      <x:c r="A145" s="1" t="str">
        <x:v>T110-016</x:v>
      </x:c>
      <x:c r="B145" s="1" t="str">
        <x:v>CS110</x:v>
      </x:c>
      <x:c r="C145" s="12" t="n">
        <x:v>46275</x:v>
      </x:c>
      <x:c r="D145" s="1" t="str">
        <x:v>处理中</x:v>
      </x:c>
      <x:c r="E145" s="1" t="str">
        <x:v>有效</x:v>
      </x:c>
      <x:c r="F145" s="1" t="str">
        <x:v>咨询</x:v>
      </x:c>
      <x:c r="G145" s="1" t="str">
        <x:v>普通</x:v>
      </x:c>
      <x:c r="H145" s="14" t="n">
        <x:v>30</x:v>
      </x:c>
      <x:c r="I145" s="1" t="n">
        <x:v>0</x:v>
      </x:c>
      <x:c r="J145" s="39" t="n">
        <x:f>IF(AND(C145&gt;='制度参数'!$B$13,C145&lt;='制度参数'!$B$14,D145="已关闭",E145="有效"),1,0)</x:f>
        <x:v>0</x:v>
      </x:c>
      <x:c r="K145" s="39" t="n">
        <x:f>VLOOKUP(B145,'员工计算'!$A$5:$H$16,8,FALSE)</x:f>
        <x:v>1</x:v>
      </x:c>
      <x:c r="L145" s="1" t="n">
        <x:f>J145*K145</x:f>
        <x:v>0</x:v>
      </x:c>
      <x:c r="M145" s="41" t="n">
        <x:f>VLOOKUP(G145,'制度参数'!$H$5:$I$7,2,FALSE)</x:f>
        <x:v>1</x:v>
      </x:c>
      <x:c r="N145" s="39" t="n">
        <x:f>VLOOKUP(F145,'制度参数'!$K$5:$L$7,2,FALSE)</x:f>
        <x:v>30</x:v>
      </x:c>
      <x:c r="O145" s="41" t="n">
        <x:f>IF(H145&lt;=N145,'制度参数'!$B$21,IF(H145&lt;=N145*'制度参数'!$B$24,'制度参数'!$B$22,'制度参数'!$B$23))</x:f>
        <x:v>1.1</x:v>
      </x:c>
      <x:c r="P145" s="31" t="n">
        <x:f>L145*M145*O145</x:f>
        <x:v>0</x:v>
      </x:c>
      <x:c r="Q145" s="1" t="n">
        <x:f>L145*I145</x:f>
        <x:v>0</x:v>
      </x:c>
      <x:c r="R145" s="39" t="str">
        <x:f>IF(L145=1,"有效计件",IF(J145=1,"人员无计奖资格",IF(OR(C145&lt;'制度参数'!$B$13,C145&gt;'制度参数'!$B$14),"关闭日期不在本月",IF(D145&lt;&gt;"已关闭","非已关闭","复核非有效"))))</x:f>
        <x:v>非已关闭</x:v>
      </x:c>
    </x:row>
    <x:row r="146" ht="24" customHeight="1">
      <x:c r="A146" s="9" t="str">
        <x:v>T110-017</x:v>
      </x:c>
      <x:c r="B146" s="9" t="str">
        <x:v>CS110</x:v>
      </x:c>
      <x:c r="C146" s="13" t="n">
        <x:v>46277</x:v>
      </x:c>
      <x:c r="D146" s="9" t="str">
        <x:v>已作废</x:v>
      </x:c>
      <x:c r="E146" s="9" t="str">
        <x:v>有效</x:v>
      </x:c>
      <x:c r="F146" s="9" t="str">
        <x:v>投诉</x:v>
      </x:c>
      <x:c r="G146" s="9" t="str">
        <x:v>紧急</x:v>
      </x:c>
      <x:c r="H146" s="15" t="n">
        <x:v>240</x:v>
      </x:c>
      <x:c r="I146" s="9" t="n">
        <x:v>0</x:v>
      </x:c>
      <x:c r="J146" s="40" t="n">
        <x:f>IF(AND(C146&gt;='制度参数'!$B$13,C146&lt;='制度参数'!$B$14,D146="已关闭",E146="有效"),1,0)</x:f>
        <x:v>0</x:v>
      </x:c>
      <x:c r="K146" s="40" t="n">
        <x:f>VLOOKUP(B146,'员工计算'!$A$5:$H$16,8,FALSE)</x:f>
        <x:v>1</x:v>
      </x:c>
      <x:c r="L146" s="9" t="n">
        <x:f>J146*K146</x:f>
        <x:v>0</x:v>
      </x:c>
      <x:c r="M146" s="42" t="n">
        <x:f>VLOOKUP(G146,'制度参数'!$H$5:$I$7,2,FALSE)</x:f>
        <x:v>2</x:v>
      </x:c>
      <x:c r="N146" s="40" t="n">
        <x:f>VLOOKUP(F146,'制度参数'!$K$5:$L$7,2,FALSE)</x:f>
        <x:v>120</x:v>
      </x:c>
      <x:c r="O146" s="42" t="n">
        <x:f>IF(H146&lt;=N146,'制度参数'!$B$21,IF(H146&lt;=N146*'制度参数'!$B$24,'制度参数'!$B$22,'制度参数'!$B$23))</x:f>
        <x:v>0.8</x:v>
      </x:c>
      <x:c r="P146" s="32" t="n">
        <x:f>L146*M146*O146</x:f>
        <x:v>0</x:v>
      </x:c>
      <x:c r="Q146" s="9" t="n">
        <x:f>L146*I146</x:f>
        <x:v>0</x:v>
      </x:c>
      <x:c r="R146" s="40" t="str">
        <x:f>IF(L146=1,"有效计件",IF(J146=1,"人员无计奖资格",IF(OR(C146&lt;'制度参数'!$B$13,C146&gt;'制度参数'!$B$14),"关闭日期不在本月",IF(D146&lt;&gt;"已关闭","非已关闭","复核非有效"))))</x:f>
        <x:v>非已关闭</x:v>
      </x:c>
    </x:row>
    <x:row r="147" ht="24" customHeight="1">
      <x:c r="A147" s="1" t="str">
        <x:v>T110-018</x:v>
      </x:c>
      <x:c r="B147" s="1" t="str">
        <x:v>CS110</x:v>
      </x:c>
      <x:c r="C147" s="12" t="n">
        <x:v>46265</x:v>
      </x:c>
      <x:c r="D147" s="1" t="str">
        <x:v>已关闭</x:v>
      </x:c>
      <x:c r="E147" s="1" t="str">
        <x:v>有效</x:v>
      </x:c>
      <x:c r="F147" s="1" t="str">
        <x:v>技术</x:v>
      </x:c>
      <x:c r="G147" s="1" t="str">
        <x:v>复杂</x:v>
      </x:c>
      <x:c r="H147" s="14" t="n">
        <x:v>482.4</x:v>
      </x:c>
      <x:c r="I147" s="1" t="n">
        <x:v>1</x:v>
      </x:c>
      <x:c r="J147" s="39" t="n">
        <x:f>IF(AND(C147&gt;='制度参数'!$B$13,C147&lt;='制度参数'!$B$14,D147="已关闭",E147="有效"),1,0)</x:f>
        <x:v>0</x:v>
      </x:c>
      <x:c r="K147" s="39" t="n">
        <x:f>VLOOKUP(B147,'员工计算'!$A$5:$H$16,8,FALSE)</x:f>
        <x:v>1</x:v>
      </x:c>
      <x:c r="L147" s="1" t="n">
        <x:f>J147*K147</x:f>
        <x:v>0</x:v>
      </x:c>
      <x:c r="M147" s="41" t="n">
        <x:f>VLOOKUP(G147,'制度参数'!$H$5:$I$7,2,FALSE)</x:f>
        <x:v>1.5</x:v>
      </x:c>
      <x:c r="N147" s="39" t="n">
        <x:f>VLOOKUP(F147,'制度参数'!$K$5:$L$7,2,FALSE)</x:f>
        <x:v>240</x:v>
      </x:c>
      <x:c r="O147" s="41" t="n">
        <x:f>IF(H147&lt;=N147,'制度参数'!$B$21,IF(H147&lt;=N147*'制度参数'!$B$24,'制度参数'!$B$22,'制度参数'!$B$23))</x:f>
        <x:v>0.5</x:v>
      </x:c>
      <x:c r="P147" s="31" t="n">
        <x:f>L147*M147*O147</x:f>
        <x:v>0</x:v>
      </x:c>
      <x:c r="Q147" s="1" t="n">
        <x:f>L147*I147</x:f>
        <x:v>0</x:v>
      </x:c>
      <x:c r="R147" s="39" t="str">
        <x:f>IF(L147=1,"有效计件",IF(J147=1,"人员无计奖资格",IF(OR(C147&lt;'制度参数'!$B$13,C147&gt;'制度参数'!$B$14),"关闭日期不在本月",IF(D147&lt;&gt;"已关闭","非已关闭","复核非有效"))))</x:f>
        <x:v>关闭日期不在本月</x:v>
      </x:c>
    </x:row>
    <x:row r="148" ht="24" customHeight="1">
      <x:c r="A148" s="9" t="str">
        <x:v>T110-019</x:v>
      </x:c>
      <x:c r="B148" s="9" t="str">
        <x:v>CS110</x:v>
      </x:c>
      <x:c r="C148" s="13" t="n">
        <x:v>46296</x:v>
      </x:c>
      <x:c r="D148" s="9" t="str">
        <x:v>已关闭</x:v>
      </x:c>
      <x:c r="E148" s="9" t="str">
        <x:v>有效</x:v>
      </x:c>
      <x:c r="F148" s="9" t="str">
        <x:v>咨询</x:v>
      </x:c>
      <x:c r="G148" s="9" t="str">
        <x:v>普通</x:v>
      </x:c>
      <x:c r="H148" s="15" t="n">
        <x:v>24</x:v>
      </x:c>
      <x:c r="I148" s="9" t="n">
        <x:v>0</x:v>
      </x:c>
      <x:c r="J148" s="40" t="n">
        <x:f>IF(AND(C148&gt;='制度参数'!$B$13,C148&lt;='制度参数'!$B$14,D148="已关闭",E148="有效"),1,0)</x:f>
        <x:v>0</x:v>
      </x:c>
      <x:c r="K148" s="40" t="n">
        <x:f>VLOOKUP(B148,'员工计算'!$A$5:$H$16,8,FALSE)</x:f>
        <x:v>1</x:v>
      </x:c>
      <x:c r="L148" s="9" t="n">
        <x:f>J148*K148</x:f>
        <x:v>0</x:v>
      </x:c>
      <x:c r="M148" s="42" t="n">
        <x:f>VLOOKUP(G148,'制度参数'!$H$5:$I$7,2,FALSE)</x:f>
        <x:v>1</x:v>
      </x:c>
      <x:c r="N148" s="40" t="n">
        <x:f>VLOOKUP(F148,'制度参数'!$K$5:$L$7,2,FALSE)</x:f>
        <x:v>30</x:v>
      </x:c>
      <x:c r="O148" s="42" t="n">
        <x:f>IF(H148&lt;=N148,'制度参数'!$B$21,IF(H148&lt;=N148*'制度参数'!$B$24,'制度参数'!$B$22,'制度参数'!$B$23))</x:f>
        <x:v>1.1</x:v>
      </x:c>
      <x:c r="P148" s="32" t="n">
        <x:f>L148*M148*O148</x:f>
        <x:v>0</x:v>
      </x:c>
      <x:c r="Q148" s="9" t="n">
        <x:f>L148*I148</x:f>
        <x:v>0</x:v>
      </x:c>
      <x:c r="R148" s="40" t="str">
        <x:f>IF(L148=1,"有效计件",IF(J148=1,"人员无计奖资格",IF(OR(C148&lt;'制度参数'!$B$13,C148&gt;'制度参数'!$B$14),"关闭日期不在本月",IF(D148&lt;&gt;"已关闭","非已关闭","复核非有效"))))</x:f>
        <x:v>关闭日期不在本月</x:v>
      </x:c>
    </x:row>
    <x:row r="149" ht="24" customHeight="1">
      <x:c r="A149" s="1" t="str">
        <x:v>T110-020</x:v>
      </x:c>
      <x:c r="B149" s="1" t="str">
        <x:v>CS110</x:v>
      </x:c>
      <x:c r="C149" s="12" t="n">
        <x:v>46283</x:v>
      </x:c>
      <x:c r="D149" s="1" t="str">
        <x:v>已关闭</x:v>
      </x:c>
      <x:c r="E149" s="1" t="str">
        <x:v>待确认</x:v>
      </x:c>
      <x:c r="F149" s="1" t="str">
        <x:v>投诉</x:v>
      </x:c>
      <x:c r="G149" s="1" t="str">
        <x:v>紧急</x:v>
      </x:c>
      <x:c r="H149" s="14" t="n">
        <x:v>180</x:v>
      </x:c>
      <x:c r="I149" s="1" t="n">
        <x:v>2</x:v>
      </x:c>
      <x:c r="J149" s="39" t="n">
        <x:f>IF(AND(C149&gt;='制度参数'!$B$13,C149&lt;='制度参数'!$B$14,D149="已关闭",E149="有效"),1,0)</x:f>
        <x:v>0</x:v>
      </x:c>
      <x:c r="K149" s="39" t="n">
        <x:f>VLOOKUP(B149,'员工计算'!$A$5:$H$16,8,FALSE)</x:f>
        <x:v>1</x:v>
      </x:c>
      <x:c r="L149" s="1" t="n">
        <x:f>J149*K149</x:f>
        <x:v>0</x:v>
      </x:c>
      <x:c r="M149" s="41" t="n">
        <x:f>VLOOKUP(G149,'制度参数'!$H$5:$I$7,2,FALSE)</x:f>
        <x:v>2</x:v>
      </x:c>
      <x:c r="N149" s="39" t="n">
        <x:f>VLOOKUP(F149,'制度参数'!$K$5:$L$7,2,FALSE)</x:f>
        <x:v>120</x:v>
      </x:c>
      <x:c r="O149" s="41" t="n">
        <x:f>IF(H149&lt;=N149,'制度参数'!$B$21,IF(H149&lt;=N149*'制度参数'!$B$24,'制度参数'!$B$22,'制度参数'!$B$23))</x:f>
        <x:v>0.8</x:v>
      </x:c>
      <x:c r="P149" s="31" t="n">
        <x:f>L149*M149*O149</x:f>
        <x:v>0</x:v>
      </x:c>
      <x:c r="Q149" s="1" t="n">
        <x:f>L149*I149</x:f>
        <x:v>0</x:v>
      </x:c>
      <x:c r="R149" s="39" t="str">
        <x:f>IF(L149=1,"有效计件",IF(J149=1,"人员无计奖资格",IF(OR(C149&lt;'制度参数'!$B$13,C149&gt;'制度参数'!$B$14),"关闭日期不在本月",IF(D149&lt;&gt;"已关闭","非已关闭","复核非有效"))))</x:f>
        <x:v>复核非有效</x:v>
      </x:c>
    </x:row>
    <x:row r="150" ht="24" customHeight="1">
      <x:c r="A150" s="9" t="str">
        <x:v>T110-021</x:v>
      </x:c>
      <x:c r="B150" s="9" t="str">
        <x:v>CS110</x:v>
      </x:c>
      <x:c r="C150" s="13" t="n">
        <x:v>46285</x:v>
      </x:c>
      <x:c r="D150" s="9" t="str">
        <x:v>已关闭</x:v>
      </x:c>
      <x:c r="E150" s="9" t="str">
        <x:v>无效</x:v>
      </x:c>
      <x:c r="F150" s="9" t="str">
        <x:v>技术</x:v>
      </x:c>
      <x:c r="G150" s="9" t="str">
        <x:v>复杂</x:v>
      </x:c>
      <x:c r="H150" s="15" t="n">
        <x:v>720</x:v>
      </x:c>
      <x:c r="I150" s="9" t="n">
        <x:v>0</x:v>
      </x:c>
      <x:c r="J150" s="40" t="n">
        <x:f>IF(AND(C150&gt;='制度参数'!$B$13,C150&lt;='制度参数'!$B$14,D150="已关闭",E150="有效"),1,0)</x:f>
        <x:v>0</x:v>
      </x:c>
      <x:c r="K150" s="40" t="n">
        <x:f>VLOOKUP(B150,'员工计算'!$A$5:$H$16,8,FALSE)</x:f>
        <x:v>1</x:v>
      </x:c>
      <x:c r="L150" s="9" t="n">
        <x:f>J150*K150</x:f>
        <x:v>0</x:v>
      </x:c>
      <x:c r="M150" s="42" t="n">
        <x:f>VLOOKUP(G150,'制度参数'!$H$5:$I$7,2,FALSE)</x:f>
        <x:v>1.5</x:v>
      </x:c>
      <x:c r="N150" s="40" t="n">
        <x:f>VLOOKUP(F150,'制度参数'!$K$5:$L$7,2,FALSE)</x:f>
        <x:v>240</x:v>
      </x:c>
      <x:c r="O150" s="42" t="n">
        <x:f>IF(H150&lt;=N150,'制度参数'!$B$21,IF(H150&lt;=N150*'制度参数'!$B$24,'制度参数'!$B$22,'制度参数'!$B$23))</x:f>
        <x:v>0.5</x:v>
      </x:c>
      <x:c r="P150" s="32" t="n">
        <x:f>L150*M150*O150</x:f>
        <x:v>0</x:v>
      </x:c>
      <x:c r="Q150" s="9" t="n">
        <x:f>L150*I150</x:f>
        <x:v>0</x:v>
      </x:c>
      <x:c r="R150" s="40" t="str">
        <x:f>IF(L150=1,"有效计件",IF(J150=1,"人员无计奖资格",IF(OR(C150&lt;'制度参数'!$B$13,C150&gt;'制度参数'!$B$14),"关闭日期不在本月",IF(D150&lt;&gt;"已关闭","非已关闭","复核非有效"))))</x:f>
        <x:v>复核非有效</x:v>
      </x:c>
    </x:row>
    <x:row r="151" ht="24" customHeight="1">
      <x:c r="A151" s="1" t="str">
        <x:v>T111-001</x:v>
      </x:c>
      <x:c r="B151" s="1" t="str">
        <x:v>CS111</x:v>
      </x:c>
      <x:c r="C151" s="12" t="n">
        <x:v>46276</x:v>
      </x:c>
      <x:c r="D151" s="1" t="str">
        <x:v>已关闭</x:v>
      </x:c>
      <x:c r="E151" s="1" t="str">
        <x:v>有效</x:v>
      </x:c>
      <x:c r="F151" s="1" t="str">
        <x:v>投诉</x:v>
      </x:c>
      <x:c r="G151" s="1" t="str">
        <x:v>复杂</x:v>
      </x:c>
      <x:c r="H151" s="14" t="n">
        <x:v>180</x:v>
      </x:c>
      <x:c r="I151" s="1" t="n">
        <x:v>0</x:v>
      </x:c>
      <x:c r="J151" s="39" t="n">
        <x:f>IF(AND(C151&gt;='制度参数'!$B$13,C151&lt;='制度参数'!$B$14,D151="已关闭",E151="有效"),1,0)</x:f>
        <x:v>1</x:v>
      </x:c>
      <x:c r="K151" s="39" t="n">
        <x:f>VLOOKUP(B151,'员工计算'!$A$5:$H$16,8,FALSE)</x:f>
        <x:v>1</x:v>
      </x:c>
      <x:c r="L151" s="1" t="n">
        <x:f>J151*K151</x:f>
        <x:v>1</x:v>
      </x:c>
      <x:c r="M151" s="41" t="n">
        <x:f>VLOOKUP(G151,'制度参数'!$H$5:$I$7,2,FALSE)</x:f>
        <x:v>1.5</x:v>
      </x:c>
      <x:c r="N151" s="39" t="n">
        <x:f>VLOOKUP(F151,'制度参数'!$K$5:$L$7,2,FALSE)</x:f>
        <x:v>120</x:v>
      </x:c>
      <x:c r="O151" s="41" t="n">
        <x:f>IF(H151&lt;=N151,'制度参数'!$B$21,IF(H151&lt;=N151*'制度参数'!$B$24,'制度参数'!$B$22,'制度参数'!$B$23))</x:f>
        <x:v>0.8</x:v>
      </x:c>
      <x:c r="P151" s="31" t="n">
        <x:f>L151*M151*O151</x:f>
        <x:v>1.2000000000000002</x:v>
      </x:c>
      <x:c r="Q151" s="1" t="n">
        <x:f>L151*I151</x:f>
        <x:v>0</x:v>
      </x:c>
      <x:c r="R151" s="39" t="str">
        <x:f>IF(L151=1,"有效计件",IF(J151=1,"人员无计奖资格",IF(OR(C151&lt;'制度参数'!$B$13,C151&gt;'制度参数'!$B$14),"关闭日期不在本月",IF(D151&lt;&gt;"已关闭","非已关闭","复核非有效"))))</x:f>
        <x:v>有效计件</x:v>
      </x:c>
    </x:row>
    <x:row r="152" ht="24" customHeight="1">
      <x:c r="A152" s="9" t="str">
        <x:v>T111-002</x:v>
      </x:c>
      <x:c r="B152" s="9" t="str">
        <x:v>CS111</x:v>
      </x:c>
      <x:c r="C152" s="13" t="n">
        <x:v>46278</x:v>
      </x:c>
      <x:c r="D152" s="9" t="str">
        <x:v>已关闭</x:v>
      </x:c>
      <x:c r="E152" s="9" t="str">
        <x:v>有效</x:v>
      </x:c>
      <x:c r="F152" s="9" t="str">
        <x:v>技术</x:v>
      </x:c>
      <x:c r="G152" s="9" t="str">
        <x:v>普通</x:v>
      </x:c>
      <x:c r="H152" s="15" t="n">
        <x:v>720</x:v>
      </x:c>
      <x:c r="I152" s="9" t="n">
        <x:v>1</x:v>
      </x:c>
      <x:c r="J152" s="40" t="n">
        <x:f>IF(AND(C152&gt;='制度参数'!$B$13,C152&lt;='制度参数'!$B$14,D152="已关闭",E152="有效"),1,0)</x:f>
        <x:v>1</x:v>
      </x:c>
      <x:c r="K152" s="40" t="n">
        <x:f>VLOOKUP(B152,'员工计算'!$A$5:$H$16,8,FALSE)</x:f>
        <x:v>1</x:v>
      </x:c>
      <x:c r="L152" s="9" t="n">
        <x:f>J152*K152</x:f>
        <x:v>1</x:v>
      </x:c>
      <x:c r="M152" s="42" t="n">
        <x:f>VLOOKUP(G152,'制度参数'!$H$5:$I$7,2,FALSE)</x:f>
        <x:v>1</x:v>
      </x:c>
      <x:c r="N152" s="40" t="n">
        <x:f>VLOOKUP(F152,'制度参数'!$K$5:$L$7,2,FALSE)</x:f>
        <x:v>240</x:v>
      </x:c>
      <x:c r="O152" s="42" t="n">
        <x:f>IF(H152&lt;=N152,'制度参数'!$B$21,IF(H152&lt;=N152*'制度参数'!$B$24,'制度参数'!$B$22,'制度参数'!$B$23))</x:f>
        <x:v>0.5</x:v>
      </x:c>
      <x:c r="P152" s="32" t="n">
        <x:f>L152*M152*O152</x:f>
        <x:v>0.5</x:v>
      </x:c>
      <x:c r="Q152" s="9" t="n">
        <x:f>L152*I152</x:f>
        <x:v>1</x:v>
      </x:c>
      <x:c r="R152" s="40" t="str">
        <x:f>IF(L152=1,"有效计件",IF(J152=1,"人员无计奖资格",IF(OR(C152&lt;'制度参数'!$B$13,C152&gt;'制度参数'!$B$14),"关闭日期不在本月",IF(D152&lt;&gt;"已关闭","非已关闭","复核非有效"))))</x:f>
        <x:v>有效计件</x:v>
      </x:c>
    </x:row>
    <x:row r="153" ht="24" customHeight="1">
      <x:c r="A153" s="1" t="str">
        <x:v>T111-003</x:v>
      </x:c>
      <x:c r="B153" s="1" t="str">
        <x:v>CS111</x:v>
      </x:c>
      <x:c r="C153" s="12" t="n">
        <x:v>46280</x:v>
      </x:c>
      <x:c r="D153" s="1" t="str">
        <x:v>已关闭</x:v>
      </x:c>
      <x:c r="E153" s="1" t="str">
        <x:v>有效</x:v>
      </x:c>
      <x:c r="F153" s="1" t="str">
        <x:v>咨询</x:v>
      </x:c>
      <x:c r="G153" s="1" t="str">
        <x:v>紧急</x:v>
      </x:c>
      <x:c r="H153" s="14" t="n">
        <x:v>30</x:v>
      </x:c>
      <x:c r="I153" s="1" t="n">
        <x:v>0</x:v>
      </x:c>
      <x:c r="J153" s="39" t="n">
        <x:f>IF(AND(C153&gt;='制度参数'!$B$13,C153&lt;='制度参数'!$B$14,D153="已关闭",E153="有效"),1,0)</x:f>
        <x:v>1</x:v>
      </x:c>
      <x:c r="K153" s="39" t="n">
        <x:f>VLOOKUP(B153,'员工计算'!$A$5:$H$16,8,FALSE)</x:f>
        <x:v>1</x:v>
      </x:c>
      <x:c r="L153" s="1" t="n">
        <x:f>J153*K153</x:f>
        <x:v>1</x:v>
      </x:c>
      <x:c r="M153" s="41" t="n">
        <x:f>VLOOKUP(G153,'制度参数'!$H$5:$I$7,2,FALSE)</x:f>
        <x:v>2</x:v>
      </x:c>
      <x:c r="N153" s="39" t="n">
        <x:f>VLOOKUP(F153,'制度参数'!$K$5:$L$7,2,FALSE)</x:f>
        <x:v>30</x:v>
      </x:c>
      <x:c r="O153" s="41" t="n">
        <x:f>IF(H153&lt;=N153,'制度参数'!$B$21,IF(H153&lt;=N153*'制度参数'!$B$24,'制度参数'!$B$22,'制度参数'!$B$23))</x:f>
        <x:v>1.1</x:v>
      </x:c>
      <x:c r="P153" s="31" t="n">
        <x:f>L153*M153*O153</x:f>
        <x:v>2.2</x:v>
      </x:c>
      <x:c r="Q153" s="1" t="n">
        <x:f>L153*I153</x:f>
        <x:v>0</x:v>
      </x:c>
      <x:c r="R153" s="39" t="str">
        <x:f>IF(L153=1,"有效计件",IF(J153=1,"人员无计奖资格",IF(OR(C153&lt;'制度参数'!$B$13,C153&gt;'制度参数'!$B$14),"关闭日期不在本月",IF(D153&lt;&gt;"已关闭","非已关闭","复核非有效"))))</x:f>
        <x:v>有效计件</x:v>
      </x:c>
    </x:row>
    <x:row r="154" ht="24" customHeight="1">
      <x:c r="A154" s="9" t="str">
        <x:v>T111-004</x:v>
      </x:c>
      <x:c r="B154" s="9" t="str">
        <x:v>CS111</x:v>
      </x:c>
      <x:c r="C154" s="13" t="n">
        <x:v>46282</x:v>
      </x:c>
      <x:c r="D154" s="9" t="str">
        <x:v>已关闭</x:v>
      </x:c>
      <x:c r="E154" s="9" t="str">
        <x:v>有效</x:v>
      </x:c>
      <x:c r="F154" s="9" t="str">
        <x:v>投诉</x:v>
      </x:c>
      <x:c r="G154" s="9" t="str">
        <x:v>复杂</x:v>
      </x:c>
      <x:c r="H154" s="15" t="n">
        <x:v>240</x:v>
      </x:c>
      <x:c r="I154" s="9" t="n">
        <x:v>2</x:v>
      </x:c>
      <x:c r="J154" s="40" t="n">
        <x:f>IF(AND(C154&gt;='制度参数'!$B$13,C154&lt;='制度参数'!$B$14,D154="已关闭",E154="有效"),1,0)</x:f>
        <x:v>1</x:v>
      </x:c>
      <x:c r="K154" s="40" t="n">
        <x:f>VLOOKUP(B154,'员工计算'!$A$5:$H$16,8,FALSE)</x:f>
        <x:v>1</x:v>
      </x:c>
      <x:c r="L154" s="9" t="n">
        <x:f>J154*K154</x:f>
        <x:v>1</x:v>
      </x:c>
      <x:c r="M154" s="42" t="n">
        <x:f>VLOOKUP(G154,'制度参数'!$H$5:$I$7,2,FALSE)</x:f>
        <x:v>1.5</x:v>
      </x:c>
      <x:c r="N154" s="40" t="n">
        <x:f>VLOOKUP(F154,'制度参数'!$K$5:$L$7,2,FALSE)</x:f>
        <x:v>120</x:v>
      </x:c>
      <x:c r="O154" s="42" t="n">
        <x:f>IF(H154&lt;=N154,'制度参数'!$B$21,IF(H154&lt;=N154*'制度参数'!$B$24,'制度参数'!$B$22,'制度参数'!$B$23))</x:f>
        <x:v>0.8</x:v>
      </x:c>
      <x:c r="P154" s="32" t="n">
        <x:f>L154*M154*O154</x:f>
        <x:v>1.2000000000000002</x:v>
      </x:c>
      <x:c r="Q154" s="9" t="n">
        <x:f>L154*I154</x:f>
        <x:v>2</x:v>
      </x:c>
      <x:c r="R154" s="40" t="str">
        <x:f>IF(L154=1,"有效计件",IF(J154=1,"人员无计奖资格",IF(OR(C154&lt;'制度参数'!$B$13,C154&gt;'制度参数'!$B$14),"关闭日期不在本月",IF(D154&lt;&gt;"已关闭","非已关闭","复核非有效"))))</x:f>
        <x:v>有效计件</x:v>
      </x:c>
    </x:row>
    <x:row r="155" ht="24" customHeight="1">
      <x:c r="A155" s="1" t="str">
        <x:v>T111-005</x:v>
      </x:c>
      <x:c r="B155" s="1" t="str">
        <x:v>CS111</x:v>
      </x:c>
      <x:c r="C155" s="12" t="n">
        <x:v>46284</x:v>
      </x:c>
      <x:c r="D155" s="1" t="str">
        <x:v>已关闭</x:v>
      </x:c>
      <x:c r="E155" s="1" t="str">
        <x:v>有效</x:v>
      </x:c>
      <x:c r="F155" s="1" t="str">
        <x:v>技术</x:v>
      </x:c>
      <x:c r="G155" s="1" t="str">
        <x:v>普通</x:v>
      </x:c>
      <x:c r="H155" s="14" t="n">
        <x:v>482.4</x:v>
      </x:c>
      <x:c r="I155" s="1" t="n">
        <x:v>0</x:v>
      </x:c>
      <x:c r="J155" s="39" t="n">
        <x:f>IF(AND(C155&gt;='制度参数'!$B$13,C155&lt;='制度参数'!$B$14,D155="已关闭",E155="有效"),1,0)</x:f>
        <x:v>1</x:v>
      </x:c>
      <x:c r="K155" s="39" t="n">
        <x:f>VLOOKUP(B155,'员工计算'!$A$5:$H$16,8,FALSE)</x:f>
        <x:v>1</x:v>
      </x:c>
      <x:c r="L155" s="1" t="n">
        <x:f>J155*K155</x:f>
        <x:v>1</x:v>
      </x:c>
      <x:c r="M155" s="41" t="n">
        <x:f>VLOOKUP(G155,'制度参数'!$H$5:$I$7,2,FALSE)</x:f>
        <x:v>1</x:v>
      </x:c>
      <x:c r="N155" s="39" t="n">
        <x:f>VLOOKUP(F155,'制度参数'!$K$5:$L$7,2,FALSE)</x:f>
        <x:v>240</x:v>
      </x:c>
      <x:c r="O155" s="41" t="n">
        <x:f>IF(H155&lt;=N155,'制度参数'!$B$21,IF(H155&lt;=N155*'制度参数'!$B$24,'制度参数'!$B$22,'制度参数'!$B$23))</x:f>
        <x:v>0.5</x:v>
      </x:c>
      <x:c r="P155" s="31" t="n">
        <x:f>L155*M155*O155</x:f>
        <x:v>0.5</x:v>
      </x:c>
      <x:c r="Q155" s="1" t="n">
        <x:f>L155*I155</x:f>
        <x:v>0</x:v>
      </x:c>
      <x:c r="R155" s="39" t="str">
        <x:f>IF(L155=1,"有效计件",IF(J155=1,"人员无计奖资格",IF(OR(C155&lt;'制度参数'!$B$13,C155&gt;'制度参数'!$B$14),"关闭日期不在本月",IF(D155&lt;&gt;"已关闭","非已关闭","复核非有效"))))</x:f>
        <x:v>有效计件</x:v>
      </x:c>
    </x:row>
    <x:row r="156" ht="24" customHeight="1">
      <x:c r="A156" s="9" t="str">
        <x:v>T111-006</x:v>
      </x:c>
      <x:c r="B156" s="9" t="str">
        <x:v>CS111</x:v>
      </x:c>
      <x:c r="C156" s="13" t="n">
        <x:v>46286</x:v>
      </x:c>
      <x:c r="D156" s="9" t="str">
        <x:v>已关闭</x:v>
      </x:c>
      <x:c r="E156" s="9" t="str">
        <x:v>有效</x:v>
      </x:c>
      <x:c r="F156" s="9" t="str">
        <x:v>咨询</x:v>
      </x:c>
      <x:c r="G156" s="9" t="str">
        <x:v>紧急</x:v>
      </x:c>
      <x:c r="H156" s="15" t="n">
        <x:v>24</x:v>
      </x:c>
      <x:c r="I156" s="9" t="n">
        <x:v>0</x:v>
      </x:c>
      <x:c r="J156" s="40" t="n">
        <x:f>IF(AND(C156&gt;='制度参数'!$B$13,C156&lt;='制度参数'!$B$14,D156="已关闭",E156="有效"),1,0)</x:f>
        <x:v>1</x:v>
      </x:c>
      <x:c r="K156" s="40" t="n">
        <x:f>VLOOKUP(B156,'员工计算'!$A$5:$H$16,8,FALSE)</x:f>
        <x:v>1</x:v>
      </x:c>
      <x:c r="L156" s="9" t="n">
        <x:f>J156*K156</x:f>
        <x:v>1</x:v>
      </x:c>
      <x:c r="M156" s="42" t="n">
        <x:f>VLOOKUP(G156,'制度参数'!$H$5:$I$7,2,FALSE)</x:f>
        <x:v>2</x:v>
      </x:c>
      <x:c r="N156" s="40" t="n">
        <x:f>VLOOKUP(F156,'制度参数'!$K$5:$L$7,2,FALSE)</x:f>
        <x:v>30</x:v>
      </x:c>
      <x:c r="O156" s="42" t="n">
        <x:f>IF(H156&lt;=N156,'制度参数'!$B$21,IF(H156&lt;=N156*'制度参数'!$B$24,'制度参数'!$B$22,'制度参数'!$B$23))</x:f>
        <x:v>1.1</x:v>
      </x:c>
      <x:c r="P156" s="32" t="n">
        <x:f>L156*M156*O156</x:f>
        <x:v>2.2</x:v>
      </x:c>
      <x:c r="Q156" s="9" t="n">
        <x:f>L156*I156</x:f>
        <x:v>0</x:v>
      </x:c>
      <x:c r="R156" s="40" t="str">
        <x:f>IF(L156=1,"有效计件",IF(J156=1,"人员无计奖资格",IF(OR(C156&lt;'制度参数'!$B$13,C156&gt;'制度参数'!$B$14),"关闭日期不在本月",IF(D156&lt;&gt;"已关闭","非已关闭","复核非有效"))))</x:f>
        <x:v>有效计件</x:v>
      </x:c>
    </x:row>
    <x:row r="157" ht="24" customHeight="1">
      <x:c r="A157" s="1" t="str">
        <x:v>T111-007</x:v>
      </x:c>
      <x:c r="B157" s="1" t="str">
        <x:v>CS111</x:v>
      </x:c>
      <x:c r="C157" s="12" t="n">
        <x:v>46288</x:v>
      </x:c>
      <x:c r="D157" s="1" t="str">
        <x:v>已关闭</x:v>
      </x:c>
      <x:c r="E157" s="1" t="str">
        <x:v>有效</x:v>
      </x:c>
      <x:c r="F157" s="1" t="str">
        <x:v>投诉</x:v>
      </x:c>
      <x:c r="G157" s="1" t="str">
        <x:v>复杂</x:v>
      </x:c>
      <x:c r="H157" s="14" t="n">
        <x:v>180</x:v>
      </x:c>
      <x:c r="I157" s="1" t="n">
        <x:v>1</x:v>
      </x:c>
      <x:c r="J157" s="39" t="n">
        <x:f>IF(AND(C157&gt;='制度参数'!$B$13,C157&lt;='制度参数'!$B$14,D157="已关闭",E157="有效"),1,0)</x:f>
        <x:v>1</x:v>
      </x:c>
      <x:c r="K157" s="39" t="n">
        <x:f>VLOOKUP(B157,'员工计算'!$A$5:$H$16,8,FALSE)</x:f>
        <x:v>1</x:v>
      </x:c>
      <x:c r="L157" s="1" t="n">
        <x:f>J157*K157</x:f>
        <x:v>1</x:v>
      </x:c>
      <x:c r="M157" s="41" t="n">
        <x:f>VLOOKUP(G157,'制度参数'!$H$5:$I$7,2,FALSE)</x:f>
        <x:v>1.5</x:v>
      </x:c>
      <x:c r="N157" s="39" t="n">
        <x:f>VLOOKUP(F157,'制度参数'!$K$5:$L$7,2,FALSE)</x:f>
        <x:v>120</x:v>
      </x:c>
      <x:c r="O157" s="41" t="n">
        <x:f>IF(H157&lt;=N157,'制度参数'!$B$21,IF(H157&lt;=N157*'制度参数'!$B$24,'制度参数'!$B$22,'制度参数'!$B$23))</x:f>
        <x:v>0.8</x:v>
      </x:c>
      <x:c r="P157" s="31" t="n">
        <x:f>L157*M157*O157</x:f>
        <x:v>1.2000000000000002</x:v>
      </x:c>
      <x:c r="Q157" s="1" t="n">
        <x:f>L157*I157</x:f>
        <x:v>1</x:v>
      </x:c>
      <x:c r="R157" s="39" t="str">
        <x:f>IF(L157=1,"有效计件",IF(J157=1,"人员无计奖资格",IF(OR(C157&lt;'制度参数'!$B$13,C157&gt;'制度参数'!$B$14),"关闭日期不在本月",IF(D157&lt;&gt;"已关闭","非已关闭","复核非有效"))))</x:f>
        <x:v>有效计件</x:v>
      </x:c>
    </x:row>
    <x:row r="158" ht="24" customHeight="1">
      <x:c r="A158" s="9" t="str">
        <x:v>T111-008</x:v>
      </x:c>
      <x:c r="B158" s="9" t="str">
        <x:v>CS111</x:v>
      </x:c>
      <x:c r="C158" s="13" t="n">
        <x:v>46290</x:v>
      </x:c>
      <x:c r="D158" s="9" t="str">
        <x:v>处理中</x:v>
      </x:c>
      <x:c r="E158" s="9" t="str">
        <x:v>有效</x:v>
      </x:c>
      <x:c r="F158" s="9" t="str">
        <x:v>技术</x:v>
      </x:c>
      <x:c r="G158" s="9" t="str">
        <x:v>普通</x:v>
      </x:c>
      <x:c r="H158" s="15" t="n">
        <x:v>720</x:v>
      </x:c>
      <x:c r="I158" s="9" t="n">
        <x:v>0</x:v>
      </x:c>
      <x:c r="J158" s="40" t="n">
        <x:f>IF(AND(C158&gt;='制度参数'!$B$13,C158&lt;='制度参数'!$B$14,D158="已关闭",E158="有效"),1,0)</x:f>
        <x:v>0</x:v>
      </x:c>
      <x:c r="K158" s="40" t="n">
        <x:f>VLOOKUP(B158,'员工计算'!$A$5:$H$16,8,FALSE)</x:f>
        <x:v>1</x:v>
      </x:c>
      <x:c r="L158" s="9" t="n">
        <x:f>J158*K158</x:f>
        <x:v>0</x:v>
      </x:c>
      <x:c r="M158" s="42" t="n">
        <x:f>VLOOKUP(G158,'制度参数'!$H$5:$I$7,2,FALSE)</x:f>
        <x:v>1</x:v>
      </x:c>
      <x:c r="N158" s="40" t="n">
        <x:f>VLOOKUP(F158,'制度参数'!$K$5:$L$7,2,FALSE)</x:f>
        <x:v>240</x:v>
      </x:c>
      <x:c r="O158" s="42" t="n">
        <x:f>IF(H158&lt;=N158,'制度参数'!$B$21,IF(H158&lt;=N158*'制度参数'!$B$24,'制度参数'!$B$22,'制度参数'!$B$23))</x:f>
        <x:v>0.5</x:v>
      </x:c>
      <x:c r="P158" s="32" t="n">
        <x:f>L158*M158*O158</x:f>
        <x:v>0</x:v>
      </x:c>
      <x:c r="Q158" s="9" t="n">
        <x:f>L158*I158</x:f>
        <x:v>0</x:v>
      </x:c>
      <x:c r="R158" s="40" t="str">
        <x:f>IF(L158=1,"有效计件",IF(J158=1,"人员无计奖资格",IF(OR(C158&lt;'制度参数'!$B$13,C158&gt;'制度参数'!$B$14),"关闭日期不在本月",IF(D158&lt;&gt;"已关闭","非已关闭","复核非有效"))))</x:f>
        <x:v>非已关闭</x:v>
      </x:c>
    </x:row>
    <x:row r="159" ht="24" customHeight="1">
      <x:c r="A159" s="1" t="str">
        <x:v>T111-009</x:v>
      </x:c>
      <x:c r="B159" s="1" t="str">
        <x:v>CS111</x:v>
      </x:c>
      <x:c r="C159" s="12" t="n">
        <x:v>46292</x:v>
      </x:c>
      <x:c r="D159" s="1" t="str">
        <x:v>已作废</x:v>
      </x:c>
      <x:c r="E159" s="1" t="str">
        <x:v>有效</x:v>
      </x:c>
      <x:c r="F159" s="1" t="str">
        <x:v>咨询</x:v>
      </x:c>
      <x:c r="G159" s="1" t="str">
        <x:v>紧急</x:v>
      </x:c>
      <x:c r="H159" s="14" t="n">
        <x:v>30</x:v>
      </x:c>
      <x:c r="I159" s="1" t="n">
        <x:v>2</x:v>
      </x:c>
      <x:c r="J159" s="39" t="n">
        <x:f>IF(AND(C159&gt;='制度参数'!$B$13,C159&lt;='制度参数'!$B$14,D159="已关闭",E159="有效"),1,0)</x:f>
        <x:v>0</x:v>
      </x:c>
      <x:c r="K159" s="39" t="n">
        <x:f>VLOOKUP(B159,'员工计算'!$A$5:$H$16,8,FALSE)</x:f>
        <x:v>1</x:v>
      </x:c>
      <x:c r="L159" s="1" t="n">
        <x:f>J159*K159</x:f>
        <x:v>0</x:v>
      </x:c>
      <x:c r="M159" s="41" t="n">
        <x:f>VLOOKUP(G159,'制度参数'!$H$5:$I$7,2,FALSE)</x:f>
        <x:v>2</x:v>
      </x:c>
      <x:c r="N159" s="39" t="n">
        <x:f>VLOOKUP(F159,'制度参数'!$K$5:$L$7,2,FALSE)</x:f>
        <x:v>30</x:v>
      </x:c>
      <x:c r="O159" s="41" t="n">
        <x:f>IF(H159&lt;=N159,'制度参数'!$B$21,IF(H159&lt;=N159*'制度参数'!$B$24,'制度参数'!$B$22,'制度参数'!$B$23))</x:f>
        <x:v>1.1</x:v>
      </x:c>
      <x:c r="P159" s="31" t="n">
        <x:f>L159*M159*O159</x:f>
        <x:v>0</x:v>
      </x:c>
      <x:c r="Q159" s="1" t="n">
        <x:f>L159*I159</x:f>
        <x:v>0</x:v>
      </x:c>
      <x:c r="R159" s="39" t="str">
        <x:f>IF(L159=1,"有效计件",IF(J159=1,"人员无计奖资格",IF(OR(C159&lt;'制度参数'!$B$13,C159&gt;'制度参数'!$B$14),"关闭日期不在本月",IF(D159&lt;&gt;"已关闭","非已关闭","复核非有效"))))</x:f>
        <x:v>非已关闭</x:v>
      </x:c>
    </x:row>
    <x:row r="160" ht="24" customHeight="1">
      <x:c r="A160" s="9" t="str">
        <x:v>T111-010</x:v>
      </x:c>
      <x:c r="B160" s="9" t="str">
        <x:v>CS111</x:v>
      </x:c>
      <x:c r="C160" s="13" t="n">
        <x:v>46265</x:v>
      </x:c>
      <x:c r="D160" s="9" t="str">
        <x:v>已关闭</x:v>
      </x:c>
      <x:c r="E160" s="9" t="str">
        <x:v>有效</x:v>
      </x:c>
      <x:c r="F160" s="9" t="str">
        <x:v>投诉</x:v>
      </x:c>
      <x:c r="G160" s="9" t="str">
        <x:v>复杂</x:v>
      </x:c>
      <x:c r="H160" s="15" t="n">
        <x:v>240</x:v>
      </x:c>
      <x:c r="I160" s="9" t="n">
        <x:v>0</x:v>
      </x:c>
      <x:c r="J160" s="40" t="n">
        <x:f>IF(AND(C160&gt;='制度参数'!$B$13,C160&lt;='制度参数'!$B$14,D160="已关闭",E160="有效"),1,0)</x:f>
        <x:v>0</x:v>
      </x:c>
      <x:c r="K160" s="40" t="n">
        <x:f>VLOOKUP(B160,'员工计算'!$A$5:$H$16,8,FALSE)</x:f>
        <x:v>1</x:v>
      </x:c>
      <x:c r="L160" s="9" t="n">
        <x:f>J160*K160</x:f>
        <x:v>0</x:v>
      </x:c>
      <x:c r="M160" s="42" t="n">
        <x:f>VLOOKUP(G160,'制度参数'!$H$5:$I$7,2,FALSE)</x:f>
        <x:v>1.5</x:v>
      </x:c>
      <x:c r="N160" s="40" t="n">
        <x:f>VLOOKUP(F160,'制度参数'!$K$5:$L$7,2,FALSE)</x:f>
        <x:v>120</x:v>
      </x:c>
      <x:c r="O160" s="42" t="n">
        <x:f>IF(H160&lt;=N160,'制度参数'!$B$21,IF(H160&lt;=N160*'制度参数'!$B$24,'制度参数'!$B$22,'制度参数'!$B$23))</x:f>
        <x:v>0.8</x:v>
      </x:c>
      <x:c r="P160" s="32" t="n">
        <x:f>L160*M160*O160</x:f>
        <x:v>0</x:v>
      </x:c>
      <x:c r="Q160" s="9" t="n">
        <x:f>L160*I160</x:f>
        <x:v>0</x:v>
      </x:c>
      <x:c r="R160" s="40" t="str">
        <x:f>IF(L160=1,"有效计件",IF(J160=1,"人员无计奖资格",IF(OR(C160&lt;'制度参数'!$B$13,C160&gt;'制度参数'!$B$14),"关闭日期不在本月",IF(D160&lt;&gt;"已关闭","非已关闭","复核非有效"))))</x:f>
        <x:v>关闭日期不在本月</x:v>
      </x:c>
    </x:row>
    <x:row r="161" ht="24" customHeight="1">
      <x:c r="A161" s="1" t="str">
        <x:v>T111-011</x:v>
      </x:c>
      <x:c r="B161" s="1" t="str">
        <x:v>CS111</x:v>
      </x:c>
      <x:c r="C161" s="12" t="n">
        <x:v>46296</x:v>
      </x:c>
      <x:c r="D161" s="1" t="str">
        <x:v>已关闭</x:v>
      </x:c>
      <x:c r="E161" s="1" t="str">
        <x:v>有效</x:v>
      </x:c>
      <x:c r="F161" s="1" t="str">
        <x:v>技术</x:v>
      </x:c>
      <x:c r="G161" s="1" t="str">
        <x:v>普通</x:v>
      </x:c>
      <x:c r="H161" s="14" t="n">
        <x:v>482.4</x:v>
      </x:c>
      <x:c r="I161" s="1" t="n">
        <x:v>0</x:v>
      </x:c>
      <x:c r="J161" s="39" t="n">
        <x:f>IF(AND(C161&gt;='制度参数'!$B$13,C161&lt;='制度参数'!$B$14,D161="已关闭",E161="有效"),1,0)</x:f>
        <x:v>0</x:v>
      </x:c>
      <x:c r="K161" s="39" t="n">
        <x:f>VLOOKUP(B161,'员工计算'!$A$5:$H$16,8,FALSE)</x:f>
        <x:v>1</x:v>
      </x:c>
      <x:c r="L161" s="1" t="n">
        <x:f>J161*K161</x:f>
        <x:v>0</x:v>
      </x:c>
      <x:c r="M161" s="41" t="n">
        <x:f>VLOOKUP(G161,'制度参数'!$H$5:$I$7,2,FALSE)</x:f>
        <x:v>1</x:v>
      </x:c>
      <x:c r="N161" s="39" t="n">
        <x:f>VLOOKUP(F161,'制度参数'!$K$5:$L$7,2,FALSE)</x:f>
        <x:v>240</x:v>
      </x:c>
      <x:c r="O161" s="41" t="n">
        <x:f>IF(H161&lt;=N161,'制度参数'!$B$21,IF(H161&lt;=N161*'制度参数'!$B$24,'制度参数'!$B$22,'制度参数'!$B$23))</x:f>
        <x:v>0.5</x:v>
      </x:c>
      <x:c r="P161" s="31" t="n">
        <x:f>L161*M161*O161</x:f>
        <x:v>0</x:v>
      </x:c>
      <x:c r="Q161" s="1" t="n">
        <x:f>L161*I161</x:f>
        <x:v>0</x:v>
      </x:c>
      <x:c r="R161" s="39" t="str">
        <x:f>IF(L161=1,"有效计件",IF(J161=1,"人员无计奖资格",IF(OR(C161&lt;'制度参数'!$B$13,C161&gt;'制度参数'!$B$14),"关闭日期不在本月",IF(D161&lt;&gt;"已关闭","非已关闭","复核非有效"))))</x:f>
        <x:v>关闭日期不在本月</x:v>
      </x:c>
    </x:row>
    <x:row r="162" ht="24" customHeight="1">
      <x:c r="A162" s="9" t="str">
        <x:v>T111-012</x:v>
      </x:c>
      <x:c r="B162" s="9" t="str">
        <x:v>CS111</x:v>
      </x:c>
      <x:c r="C162" s="13" t="n">
        <x:v>46268</x:v>
      </x:c>
      <x:c r="D162" s="9" t="str">
        <x:v>已关闭</x:v>
      </x:c>
      <x:c r="E162" s="9" t="str">
        <x:v>待确认</x:v>
      </x:c>
      <x:c r="F162" s="9" t="str">
        <x:v>咨询</x:v>
      </x:c>
      <x:c r="G162" s="9" t="str">
        <x:v>紧急</x:v>
      </x:c>
      <x:c r="H162" s="15" t="n">
        <x:v>24</x:v>
      </x:c>
      <x:c r="I162" s="9" t="n">
        <x:v>1</x:v>
      </x:c>
      <x:c r="J162" s="40" t="n">
        <x:f>IF(AND(C162&gt;='制度参数'!$B$13,C162&lt;='制度参数'!$B$14,D162="已关闭",E162="有效"),1,0)</x:f>
        <x:v>0</x:v>
      </x:c>
      <x:c r="K162" s="40" t="n">
        <x:f>VLOOKUP(B162,'员工计算'!$A$5:$H$16,8,FALSE)</x:f>
        <x:v>1</x:v>
      </x:c>
      <x:c r="L162" s="9" t="n">
        <x:f>J162*K162</x:f>
        <x:v>0</x:v>
      </x:c>
      <x:c r="M162" s="42" t="n">
        <x:f>VLOOKUP(G162,'制度参数'!$H$5:$I$7,2,FALSE)</x:f>
        <x:v>2</x:v>
      </x:c>
      <x:c r="N162" s="40" t="n">
        <x:f>VLOOKUP(F162,'制度参数'!$K$5:$L$7,2,FALSE)</x:f>
        <x:v>30</x:v>
      </x:c>
      <x:c r="O162" s="42" t="n">
        <x:f>IF(H162&lt;=N162,'制度参数'!$B$21,IF(H162&lt;=N162*'制度参数'!$B$24,'制度参数'!$B$22,'制度参数'!$B$23))</x:f>
        <x:v>1.1</x:v>
      </x:c>
      <x:c r="P162" s="32" t="n">
        <x:f>L162*M162*O162</x:f>
        <x:v>0</x:v>
      </x:c>
      <x:c r="Q162" s="9" t="n">
        <x:f>L162*I162</x:f>
        <x:v>0</x:v>
      </x:c>
      <x:c r="R162" s="40" t="str">
        <x:f>IF(L162=1,"有效计件",IF(J162=1,"人员无计奖资格",IF(OR(C162&lt;'制度参数'!$B$13,C162&gt;'制度参数'!$B$14),"关闭日期不在本月",IF(D162&lt;&gt;"已关闭","非已关闭","复核非有效"))))</x:f>
        <x:v>复核非有效</x:v>
      </x:c>
    </x:row>
    <x:row r="163" ht="24" customHeight="1">
      <x:c r="A163" s="1" t="str">
        <x:v>T111-013</x:v>
      </x:c>
      <x:c r="B163" s="1" t="str">
        <x:v>CS111</x:v>
      </x:c>
      <x:c r="C163" s="12" t="n">
        <x:v>46270</x:v>
      </x:c>
      <x:c r="D163" s="1" t="str">
        <x:v>已关闭</x:v>
      </x:c>
      <x:c r="E163" s="1" t="str">
        <x:v>无效</x:v>
      </x:c>
      <x:c r="F163" s="1" t="str">
        <x:v>投诉</x:v>
      </x:c>
      <x:c r="G163" s="1" t="str">
        <x:v>复杂</x:v>
      </x:c>
      <x:c r="H163" s="14" t="n">
        <x:v>180</x:v>
      </x:c>
      <x:c r="I163" s="1" t="n">
        <x:v>0</x:v>
      </x:c>
      <x:c r="J163" s="39" t="n">
        <x:f>IF(AND(C163&gt;='制度参数'!$B$13,C163&lt;='制度参数'!$B$14,D163="已关闭",E163="有效"),1,0)</x:f>
        <x:v>0</x:v>
      </x:c>
      <x:c r="K163" s="39" t="n">
        <x:f>VLOOKUP(B163,'员工计算'!$A$5:$H$16,8,FALSE)</x:f>
        <x:v>1</x:v>
      </x:c>
      <x:c r="L163" s="1" t="n">
        <x:f>J163*K163</x:f>
        <x:v>0</x:v>
      </x:c>
      <x:c r="M163" s="41" t="n">
        <x:f>VLOOKUP(G163,'制度参数'!$H$5:$I$7,2,FALSE)</x:f>
        <x:v>1.5</x:v>
      </x:c>
      <x:c r="N163" s="39" t="n">
        <x:f>VLOOKUP(F163,'制度参数'!$K$5:$L$7,2,FALSE)</x:f>
        <x:v>120</x:v>
      </x:c>
      <x:c r="O163" s="41" t="n">
        <x:f>IF(H163&lt;=N163,'制度参数'!$B$21,IF(H163&lt;=N163*'制度参数'!$B$24,'制度参数'!$B$22,'制度参数'!$B$23))</x:f>
        <x:v>0.8</x:v>
      </x:c>
      <x:c r="P163" s="31" t="n">
        <x:f>L163*M163*O163</x:f>
        <x:v>0</x:v>
      </x:c>
      <x:c r="Q163" s="1" t="n">
        <x:f>L163*I163</x:f>
        <x:v>0</x:v>
      </x:c>
      <x:c r="R163" s="39" t="str">
        <x:f>IF(L163=1,"有效计件",IF(J163=1,"人员无计奖资格",IF(OR(C163&lt;'制度参数'!$B$13,C163&gt;'制度参数'!$B$14),"关闭日期不在本月",IF(D163&lt;&gt;"已关闭","非已关闭","复核非有效"))))</x:f>
        <x:v>复核非有效</x:v>
      </x:c>
    </x:row>
    <x:row r="164" ht="24" customHeight="1">
      <x:c r="A164" s="9" t="str">
        <x:v>T112-001</x:v>
      </x:c>
      <x:c r="B164" s="9" t="str">
        <x:v>CS112</x:v>
      </x:c>
      <x:c r="C164" s="13" t="n">
        <x:v>46277</x:v>
      </x:c>
      <x:c r="D164" s="9" t="str">
        <x:v>已关闭</x:v>
      </x:c>
      <x:c r="E164" s="9" t="str">
        <x:v>有效</x:v>
      </x:c>
      <x:c r="F164" s="9" t="str">
        <x:v>技术</x:v>
      </x:c>
      <x:c r="G164" s="9" t="str">
        <x:v>紧急</x:v>
      </x:c>
      <x:c r="H164" s="15" t="n">
        <x:v>240</x:v>
      </x:c>
      <x:c r="I164" s="9" t="n">
        <x:v>0</x:v>
      </x:c>
      <x:c r="J164" s="40" t="n">
        <x:f>IF(AND(C164&gt;='制度参数'!$B$13,C164&lt;='制度参数'!$B$14,D164="已关闭",E164="有效"),1,0)</x:f>
        <x:v>1</x:v>
      </x:c>
      <x:c r="K164" s="40" t="n">
        <x:f>VLOOKUP(B164,'员工计算'!$A$5:$H$16,8,FALSE)</x:f>
        <x:v>1</x:v>
      </x:c>
      <x:c r="L164" s="9" t="n">
        <x:f>J164*K164</x:f>
        <x:v>1</x:v>
      </x:c>
      <x:c r="M164" s="42" t="n">
        <x:f>VLOOKUP(G164,'制度参数'!$H$5:$I$7,2,FALSE)</x:f>
        <x:v>2</x:v>
      </x:c>
      <x:c r="N164" s="40" t="n">
        <x:f>VLOOKUP(F164,'制度参数'!$K$5:$L$7,2,FALSE)</x:f>
        <x:v>240</x:v>
      </x:c>
      <x:c r="O164" s="42" t="n">
        <x:f>IF(H164&lt;=N164,'制度参数'!$B$21,IF(H164&lt;=N164*'制度参数'!$B$24,'制度参数'!$B$22,'制度参数'!$B$23))</x:f>
        <x:v>1.1</x:v>
      </x:c>
      <x:c r="P164" s="32" t="n">
        <x:f>L164*M164*O164</x:f>
        <x:v>2.2</x:v>
      </x:c>
      <x:c r="Q164" s="9" t="n">
        <x:f>L164*I164</x:f>
        <x:v>0</x:v>
      </x:c>
      <x:c r="R164" s="40" t="str">
        <x:f>IF(L164=1,"有效计件",IF(J164=1,"人员无计奖资格",IF(OR(C164&lt;'制度参数'!$B$13,C164&gt;'制度参数'!$B$14),"关闭日期不在本月",IF(D164&lt;&gt;"已关闭","非已关闭","复核非有效"))))</x:f>
        <x:v>有效计件</x:v>
      </x:c>
    </x:row>
    <x:row r="165" ht="24" customHeight="1">
      <x:c r="A165" s="1" t="str">
        <x:v>T112-002</x:v>
      </x:c>
      <x:c r="B165" s="1" t="str">
        <x:v>CS112</x:v>
      </x:c>
      <x:c r="C165" s="12" t="n">
        <x:v>46279</x:v>
      </x:c>
      <x:c r="D165" s="1" t="str">
        <x:v>已关闭</x:v>
      </x:c>
      <x:c r="E165" s="1" t="str">
        <x:v>有效</x:v>
      </x:c>
      <x:c r="F165" s="1" t="str">
        <x:v>咨询</x:v>
      </x:c>
      <x:c r="G165" s="1" t="str">
        <x:v>紧急</x:v>
      </x:c>
      <x:c r="H165" s="14" t="n">
        <x:v>30</x:v>
      </x:c>
      <x:c r="I165" s="1" t="n">
        <x:v>0</x:v>
      </x:c>
      <x:c r="J165" s="39" t="n">
        <x:f>IF(AND(C165&gt;='制度参数'!$B$13,C165&lt;='制度参数'!$B$14,D165="已关闭",E165="有效"),1,0)</x:f>
        <x:v>1</x:v>
      </x:c>
      <x:c r="K165" s="39" t="n">
        <x:f>VLOOKUP(B165,'员工计算'!$A$5:$H$16,8,FALSE)</x:f>
        <x:v>1</x:v>
      </x:c>
      <x:c r="L165" s="1" t="n">
        <x:f>J165*K165</x:f>
        <x:v>1</x:v>
      </x:c>
      <x:c r="M165" s="41" t="n">
        <x:f>VLOOKUP(G165,'制度参数'!$H$5:$I$7,2,FALSE)</x:f>
        <x:v>2</x:v>
      </x:c>
      <x:c r="N165" s="39" t="n">
        <x:f>VLOOKUP(F165,'制度参数'!$K$5:$L$7,2,FALSE)</x:f>
        <x:v>30</x:v>
      </x:c>
      <x:c r="O165" s="41" t="n">
        <x:f>IF(H165&lt;=N165,'制度参数'!$B$21,IF(H165&lt;=N165*'制度参数'!$B$24,'制度参数'!$B$22,'制度参数'!$B$23))</x:f>
        <x:v>1.1</x:v>
      </x:c>
      <x:c r="P165" s="31" t="n">
        <x:f>L165*M165*O165</x:f>
        <x:v>2.2</x:v>
      </x:c>
      <x:c r="Q165" s="1" t="n">
        <x:f>L165*I165</x:f>
        <x:v>0</x:v>
      </x:c>
      <x:c r="R165" s="39" t="str">
        <x:f>IF(L165=1,"有效计件",IF(J165=1,"人员无计奖资格",IF(OR(C165&lt;'制度参数'!$B$13,C165&gt;'制度参数'!$B$14),"关闭日期不在本月",IF(D165&lt;&gt;"已关闭","非已关闭","复核非有效"))))</x:f>
        <x:v>有效计件</x:v>
      </x:c>
    </x:row>
    <x:row r="166" ht="24" customHeight="1">
      <x:c r="A166" s="9" t="str">
        <x:v>T112-003</x:v>
      </x:c>
      <x:c r="B166" s="9" t="str">
        <x:v>CS112</x:v>
      </x:c>
      <x:c r="C166" s="13" t="n">
        <x:v>46281</x:v>
      </x:c>
      <x:c r="D166" s="9" t="str">
        <x:v>已关闭</x:v>
      </x:c>
      <x:c r="E166" s="9" t="str">
        <x:v>有效</x:v>
      </x:c>
      <x:c r="F166" s="9" t="str">
        <x:v>投诉</x:v>
      </x:c>
      <x:c r="G166" s="9" t="str">
        <x:v>紧急</x:v>
      </x:c>
      <x:c r="H166" s="15" t="n">
        <x:v>120</x:v>
      </x:c>
      <x:c r="I166" s="9" t="n">
        <x:v>0</x:v>
      </x:c>
      <x:c r="J166" s="40" t="n">
        <x:f>IF(AND(C166&gt;='制度参数'!$B$13,C166&lt;='制度参数'!$B$14,D166="已关闭",E166="有效"),1,0)</x:f>
        <x:v>1</x:v>
      </x:c>
      <x:c r="K166" s="40" t="n">
        <x:f>VLOOKUP(B166,'员工计算'!$A$5:$H$16,8,FALSE)</x:f>
        <x:v>1</x:v>
      </x:c>
      <x:c r="L166" s="9" t="n">
        <x:f>J166*K166</x:f>
        <x:v>1</x:v>
      </x:c>
      <x:c r="M166" s="42" t="n">
        <x:f>VLOOKUP(G166,'制度参数'!$H$5:$I$7,2,FALSE)</x:f>
        <x:v>2</x:v>
      </x:c>
      <x:c r="N166" s="40" t="n">
        <x:f>VLOOKUP(F166,'制度参数'!$K$5:$L$7,2,FALSE)</x:f>
        <x:v>120</x:v>
      </x:c>
      <x:c r="O166" s="42" t="n">
        <x:f>IF(H166&lt;=N166,'制度参数'!$B$21,IF(H166&lt;=N166*'制度参数'!$B$24,'制度参数'!$B$22,'制度参数'!$B$23))</x:f>
        <x:v>1.1</x:v>
      </x:c>
      <x:c r="P166" s="32" t="n">
        <x:f>L166*M166*O166</x:f>
        <x:v>2.2</x:v>
      </x:c>
      <x:c r="Q166" s="9" t="n">
        <x:f>L166*I166</x:f>
        <x:v>0</x:v>
      </x:c>
      <x:c r="R166" s="40" t="str">
        <x:f>IF(L166=1,"有效计件",IF(J166=1,"人员无计奖资格",IF(OR(C166&lt;'制度参数'!$B$13,C166&gt;'制度参数'!$B$14),"关闭日期不在本月",IF(D166&lt;&gt;"已关闭","非已关闭","复核非有效"))))</x:f>
        <x:v>有效计件</x:v>
      </x:c>
    </x:row>
    <x:row r="167" ht="24" customHeight="1">
      <x:c r="A167" s="1" t="str">
        <x:v>T112-004</x:v>
      </x:c>
      <x:c r="B167" s="1" t="str">
        <x:v>CS112</x:v>
      </x:c>
      <x:c r="C167" s="12" t="n">
        <x:v>46283</x:v>
      </x:c>
      <x:c r="D167" s="1" t="str">
        <x:v>已关闭</x:v>
      </x:c>
      <x:c r="E167" s="1" t="str">
        <x:v>有效</x:v>
      </x:c>
      <x:c r="F167" s="1" t="str">
        <x:v>技术</x:v>
      </x:c>
      <x:c r="G167" s="1" t="str">
        <x:v>紧急</x:v>
      </x:c>
      <x:c r="H167" s="14" t="n">
        <x:v>240</x:v>
      </x:c>
      <x:c r="I167" s="1" t="n">
        <x:v>0</x:v>
      </x:c>
      <x:c r="J167" s="39" t="n">
        <x:f>IF(AND(C167&gt;='制度参数'!$B$13,C167&lt;='制度参数'!$B$14,D167="已关闭",E167="有效"),1,0)</x:f>
        <x:v>1</x:v>
      </x:c>
      <x:c r="K167" s="39" t="n">
        <x:f>VLOOKUP(B167,'员工计算'!$A$5:$H$16,8,FALSE)</x:f>
        <x:v>1</x:v>
      </x:c>
      <x:c r="L167" s="1" t="n">
        <x:f>J167*K167</x:f>
        <x:v>1</x:v>
      </x:c>
      <x:c r="M167" s="41" t="n">
        <x:f>VLOOKUP(G167,'制度参数'!$H$5:$I$7,2,FALSE)</x:f>
        <x:v>2</x:v>
      </x:c>
      <x:c r="N167" s="39" t="n">
        <x:f>VLOOKUP(F167,'制度参数'!$K$5:$L$7,2,FALSE)</x:f>
        <x:v>240</x:v>
      </x:c>
      <x:c r="O167" s="41" t="n">
        <x:f>IF(H167&lt;=N167,'制度参数'!$B$21,IF(H167&lt;=N167*'制度参数'!$B$24,'制度参数'!$B$22,'制度参数'!$B$23))</x:f>
        <x:v>1.1</x:v>
      </x:c>
      <x:c r="P167" s="31" t="n">
        <x:f>L167*M167*O167</x:f>
        <x:v>2.2</x:v>
      </x:c>
      <x:c r="Q167" s="1" t="n">
        <x:f>L167*I167</x:f>
        <x:v>0</x:v>
      </x:c>
      <x:c r="R167" s="39" t="str">
        <x:f>IF(L167=1,"有效计件",IF(J167=1,"人员无计奖资格",IF(OR(C167&lt;'制度参数'!$B$13,C167&gt;'制度参数'!$B$14),"关闭日期不在本月",IF(D167&lt;&gt;"已关闭","非已关闭","复核非有效"))))</x:f>
        <x:v>有效计件</x:v>
      </x:c>
    </x:row>
    <x:row r="168" ht="24" customHeight="1">
      <x:c r="A168" s="9" t="str">
        <x:v>T112-005</x:v>
      </x:c>
      <x:c r="B168" s="9" t="str">
        <x:v>CS112</x:v>
      </x:c>
      <x:c r="C168" s="13" t="n">
        <x:v>46285</x:v>
      </x:c>
      <x:c r="D168" s="9" t="str">
        <x:v>已关闭</x:v>
      </x:c>
      <x:c r="E168" s="9" t="str">
        <x:v>有效</x:v>
      </x:c>
      <x:c r="F168" s="9" t="str">
        <x:v>咨询</x:v>
      </x:c>
      <x:c r="G168" s="9" t="str">
        <x:v>紧急</x:v>
      </x:c>
      <x:c r="H168" s="15" t="n">
        <x:v>30</x:v>
      </x:c>
      <x:c r="I168" s="9" t="n">
        <x:v>0</x:v>
      </x:c>
      <x:c r="J168" s="40" t="n">
        <x:f>IF(AND(C168&gt;='制度参数'!$B$13,C168&lt;='制度参数'!$B$14,D168="已关闭",E168="有效"),1,0)</x:f>
        <x:v>1</x:v>
      </x:c>
      <x:c r="K168" s="40" t="n">
        <x:f>VLOOKUP(B168,'员工计算'!$A$5:$H$16,8,FALSE)</x:f>
        <x:v>1</x:v>
      </x:c>
      <x:c r="L168" s="9" t="n">
        <x:f>J168*K168</x:f>
        <x:v>1</x:v>
      </x:c>
      <x:c r="M168" s="42" t="n">
        <x:f>VLOOKUP(G168,'制度参数'!$H$5:$I$7,2,FALSE)</x:f>
        <x:v>2</x:v>
      </x:c>
      <x:c r="N168" s="40" t="n">
        <x:f>VLOOKUP(F168,'制度参数'!$K$5:$L$7,2,FALSE)</x:f>
        <x:v>30</x:v>
      </x:c>
      <x:c r="O168" s="42" t="n">
        <x:f>IF(H168&lt;=N168,'制度参数'!$B$21,IF(H168&lt;=N168*'制度参数'!$B$24,'制度参数'!$B$22,'制度参数'!$B$23))</x:f>
        <x:v>1.1</x:v>
      </x:c>
      <x:c r="P168" s="32" t="n">
        <x:f>L168*M168*O168</x:f>
        <x:v>2.2</x:v>
      </x:c>
      <x:c r="Q168" s="9" t="n">
        <x:f>L168*I168</x:f>
        <x:v>0</x:v>
      </x:c>
      <x:c r="R168" s="40" t="str">
        <x:f>IF(L168=1,"有效计件",IF(J168=1,"人员无计奖资格",IF(OR(C168&lt;'制度参数'!$B$13,C168&gt;'制度参数'!$B$14),"关闭日期不在本月",IF(D168&lt;&gt;"已关闭","非已关闭","复核非有效"))))</x:f>
        <x:v>有效计件</x:v>
      </x:c>
    </x:row>
    <x:row r="169" ht="24" customHeight="1">
      <x:c r="A169" s="1" t="str">
        <x:v>T112-006</x:v>
      </x:c>
      <x:c r="B169" s="1" t="str">
        <x:v>CS112</x:v>
      </x:c>
      <x:c r="C169" s="12" t="n">
        <x:v>46287</x:v>
      </x:c>
      <x:c r="D169" s="1" t="str">
        <x:v>已关闭</x:v>
      </x:c>
      <x:c r="E169" s="1" t="str">
        <x:v>有效</x:v>
      </x:c>
      <x:c r="F169" s="1" t="str">
        <x:v>投诉</x:v>
      </x:c>
      <x:c r="G169" s="1" t="str">
        <x:v>紧急</x:v>
      </x:c>
      <x:c r="H169" s="14" t="n">
        <x:v>120</x:v>
      </x:c>
      <x:c r="I169" s="1" t="n">
        <x:v>0</x:v>
      </x:c>
      <x:c r="J169" s="39" t="n">
        <x:f>IF(AND(C169&gt;='制度参数'!$B$13,C169&lt;='制度参数'!$B$14,D169="已关闭",E169="有效"),1,0)</x:f>
        <x:v>1</x:v>
      </x:c>
      <x:c r="K169" s="39" t="n">
        <x:f>VLOOKUP(B169,'员工计算'!$A$5:$H$16,8,FALSE)</x:f>
        <x:v>1</x:v>
      </x:c>
      <x:c r="L169" s="1" t="n">
        <x:f>J169*K169</x:f>
        <x:v>1</x:v>
      </x:c>
      <x:c r="M169" s="41" t="n">
        <x:f>VLOOKUP(G169,'制度参数'!$H$5:$I$7,2,FALSE)</x:f>
        <x:v>2</x:v>
      </x:c>
      <x:c r="N169" s="39" t="n">
        <x:f>VLOOKUP(F169,'制度参数'!$K$5:$L$7,2,FALSE)</x:f>
        <x:v>120</x:v>
      </x:c>
      <x:c r="O169" s="41" t="n">
        <x:f>IF(H169&lt;=N169,'制度参数'!$B$21,IF(H169&lt;=N169*'制度参数'!$B$24,'制度参数'!$B$22,'制度参数'!$B$23))</x:f>
        <x:v>1.1</x:v>
      </x:c>
      <x:c r="P169" s="31" t="n">
        <x:f>L169*M169*O169</x:f>
        <x:v>2.2</x:v>
      </x:c>
      <x:c r="Q169" s="1" t="n">
        <x:f>L169*I169</x:f>
        <x:v>0</x:v>
      </x:c>
      <x:c r="R169" s="39" t="str">
        <x:f>IF(L169=1,"有效计件",IF(J169=1,"人员无计奖资格",IF(OR(C169&lt;'制度参数'!$B$13,C169&gt;'制度参数'!$B$14),"关闭日期不在本月",IF(D169&lt;&gt;"已关闭","非已关闭","复核非有效"))))</x:f>
        <x:v>有效计件</x:v>
      </x:c>
    </x:row>
    <x:row r="170" ht="24" customHeight="1">
      <x:c r="A170" s="9" t="str">
        <x:v>T112-007</x:v>
      </x:c>
      <x:c r="B170" s="9" t="str">
        <x:v>CS112</x:v>
      </x:c>
      <x:c r="C170" s="13" t="n">
        <x:v>46289</x:v>
      </x:c>
      <x:c r="D170" s="9" t="str">
        <x:v>已关闭</x:v>
      </x:c>
      <x:c r="E170" s="9" t="str">
        <x:v>有效</x:v>
      </x:c>
      <x:c r="F170" s="9" t="str">
        <x:v>技术</x:v>
      </x:c>
      <x:c r="G170" s="9" t="str">
        <x:v>紧急</x:v>
      </x:c>
      <x:c r="H170" s="15" t="n">
        <x:v>240</x:v>
      </x:c>
      <x:c r="I170" s="9" t="n">
        <x:v>0</x:v>
      </x:c>
      <x:c r="J170" s="40" t="n">
        <x:f>IF(AND(C170&gt;='制度参数'!$B$13,C170&lt;='制度参数'!$B$14,D170="已关闭",E170="有效"),1,0)</x:f>
        <x:v>1</x:v>
      </x:c>
      <x:c r="K170" s="40" t="n">
        <x:f>VLOOKUP(B170,'员工计算'!$A$5:$H$16,8,FALSE)</x:f>
        <x:v>1</x:v>
      </x:c>
      <x:c r="L170" s="9" t="n">
        <x:f>J170*K170</x:f>
        <x:v>1</x:v>
      </x:c>
      <x:c r="M170" s="42" t="n">
        <x:f>VLOOKUP(G170,'制度参数'!$H$5:$I$7,2,FALSE)</x:f>
        <x:v>2</x:v>
      </x:c>
      <x:c r="N170" s="40" t="n">
        <x:f>VLOOKUP(F170,'制度参数'!$K$5:$L$7,2,FALSE)</x:f>
        <x:v>240</x:v>
      </x:c>
      <x:c r="O170" s="42" t="n">
        <x:f>IF(H170&lt;=N170,'制度参数'!$B$21,IF(H170&lt;=N170*'制度参数'!$B$24,'制度参数'!$B$22,'制度参数'!$B$23))</x:f>
        <x:v>1.1</x:v>
      </x:c>
      <x:c r="P170" s="32" t="n">
        <x:f>L170*M170*O170</x:f>
        <x:v>2.2</x:v>
      </x:c>
      <x:c r="Q170" s="9" t="n">
        <x:f>L170*I170</x:f>
        <x:v>0</x:v>
      </x:c>
      <x:c r="R170" s="40" t="str">
        <x:f>IF(L170=1,"有效计件",IF(J170=1,"人员无计奖资格",IF(OR(C170&lt;'制度参数'!$B$13,C170&gt;'制度参数'!$B$14),"关闭日期不在本月",IF(D170&lt;&gt;"已关闭","非已关闭","复核非有效"))))</x:f>
        <x:v>有效计件</x:v>
      </x:c>
    </x:row>
    <x:row r="171" ht="24" customHeight="1">
      <x:c r="A171" s="1" t="str">
        <x:v>T112-008</x:v>
      </x:c>
      <x:c r="B171" s="1" t="str">
        <x:v>CS112</x:v>
      </x:c>
      <x:c r="C171" s="12" t="n">
        <x:v>46291</x:v>
      </x:c>
      <x:c r="D171" s="1" t="str">
        <x:v>已关闭</x:v>
      </x:c>
      <x:c r="E171" s="1" t="str">
        <x:v>有效</x:v>
      </x:c>
      <x:c r="F171" s="1" t="str">
        <x:v>咨询</x:v>
      </x:c>
      <x:c r="G171" s="1" t="str">
        <x:v>紧急</x:v>
      </x:c>
      <x:c r="H171" s="14" t="n">
        <x:v>30</x:v>
      </x:c>
      <x:c r="I171" s="1" t="n">
        <x:v>0</x:v>
      </x:c>
      <x:c r="J171" s="39" t="n">
        <x:f>IF(AND(C171&gt;='制度参数'!$B$13,C171&lt;='制度参数'!$B$14,D171="已关闭",E171="有效"),1,0)</x:f>
        <x:v>1</x:v>
      </x:c>
      <x:c r="K171" s="39" t="n">
        <x:f>VLOOKUP(B171,'员工计算'!$A$5:$H$16,8,FALSE)</x:f>
        <x:v>1</x:v>
      </x:c>
      <x:c r="L171" s="1" t="n">
        <x:f>J171*K171</x:f>
        <x:v>1</x:v>
      </x:c>
      <x:c r="M171" s="41" t="n">
        <x:f>VLOOKUP(G171,'制度参数'!$H$5:$I$7,2,FALSE)</x:f>
        <x:v>2</x:v>
      </x:c>
      <x:c r="N171" s="39" t="n">
        <x:f>VLOOKUP(F171,'制度参数'!$K$5:$L$7,2,FALSE)</x:f>
        <x:v>30</x:v>
      </x:c>
      <x:c r="O171" s="41" t="n">
        <x:f>IF(H171&lt;=N171,'制度参数'!$B$21,IF(H171&lt;=N171*'制度参数'!$B$24,'制度参数'!$B$22,'制度参数'!$B$23))</x:f>
        <x:v>1.1</x:v>
      </x:c>
      <x:c r="P171" s="31" t="n">
        <x:f>L171*M171*O171</x:f>
        <x:v>2.2</x:v>
      </x:c>
      <x:c r="Q171" s="1" t="n">
        <x:f>L171*I171</x:f>
        <x:v>0</x:v>
      </x:c>
      <x:c r="R171" s="39" t="str">
        <x:f>IF(L171=1,"有效计件",IF(J171=1,"人员无计奖资格",IF(OR(C171&lt;'制度参数'!$B$13,C171&gt;'制度参数'!$B$14),"关闭日期不在本月",IF(D171&lt;&gt;"已关闭","非已关闭","复核非有效"))))</x:f>
        <x:v>有效计件</x:v>
      </x:c>
    </x:row>
    <x:row r="172" ht="24" customHeight="1">
      <x:c r="A172" s="9" t="str">
        <x:v>T112-009</x:v>
      </x:c>
      <x:c r="B172" s="9" t="str">
        <x:v>CS112</x:v>
      </x:c>
      <x:c r="C172" s="13" t="n">
        <x:v>46293</x:v>
      </x:c>
      <x:c r="D172" s="9" t="str">
        <x:v>已关闭</x:v>
      </x:c>
      <x:c r="E172" s="9" t="str">
        <x:v>有效</x:v>
      </x:c>
      <x:c r="F172" s="9" t="str">
        <x:v>投诉</x:v>
      </x:c>
      <x:c r="G172" s="9" t="str">
        <x:v>紧急</x:v>
      </x:c>
      <x:c r="H172" s="15" t="n">
        <x:v>120</x:v>
      </x:c>
      <x:c r="I172" s="9" t="n">
        <x:v>0</x:v>
      </x:c>
      <x:c r="J172" s="40" t="n">
        <x:f>IF(AND(C172&gt;='制度参数'!$B$13,C172&lt;='制度参数'!$B$14,D172="已关闭",E172="有效"),1,0)</x:f>
        <x:v>1</x:v>
      </x:c>
      <x:c r="K172" s="40" t="n">
        <x:f>VLOOKUP(B172,'员工计算'!$A$5:$H$16,8,FALSE)</x:f>
        <x:v>1</x:v>
      </x:c>
      <x:c r="L172" s="9" t="n">
        <x:f>J172*K172</x:f>
        <x:v>1</x:v>
      </x:c>
      <x:c r="M172" s="42" t="n">
        <x:f>VLOOKUP(G172,'制度参数'!$H$5:$I$7,2,FALSE)</x:f>
        <x:v>2</x:v>
      </x:c>
      <x:c r="N172" s="40" t="n">
        <x:f>VLOOKUP(F172,'制度参数'!$K$5:$L$7,2,FALSE)</x:f>
        <x:v>120</x:v>
      </x:c>
      <x:c r="O172" s="42" t="n">
        <x:f>IF(H172&lt;=N172,'制度参数'!$B$21,IF(H172&lt;=N172*'制度参数'!$B$24,'制度参数'!$B$22,'制度参数'!$B$23))</x:f>
        <x:v>1.1</x:v>
      </x:c>
      <x:c r="P172" s="32" t="n">
        <x:f>L172*M172*O172</x:f>
        <x:v>2.2</x:v>
      </x:c>
      <x:c r="Q172" s="9" t="n">
        <x:f>L172*I172</x:f>
        <x:v>0</x:v>
      </x:c>
      <x:c r="R172" s="40" t="str">
        <x:f>IF(L172=1,"有效计件",IF(J172=1,"人员无计奖资格",IF(OR(C172&lt;'制度参数'!$B$13,C172&gt;'制度参数'!$B$14),"关闭日期不在本月",IF(D172&lt;&gt;"已关闭","非已关闭","复核非有效"))))</x:f>
        <x:v>有效计件</x:v>
      </x:c>
    </x:row>
    <x:row r="173" ht="24" customHeight="1">
      <x:c r="A173" s="1" t="str">
        <x:v>T112-010</x:v>
      </x:c>
      <x:c r="B173" s="1" t="str">
        <x:v>CS112</x:v>
      </x:c>
      <x:c r="C173" s="12" t="n">
        <x:v>46295</x:v>
      </x:c>
      <x:c r="D173" s="1" t="str">
        <x:v>已关闭</x:v>
      </x:c>
      <x:c r="E173" s="1" t="str">
        <x:v>有效</x:v>
      </x:c>
      <x:c r="F173" s="1" t="str">
        <x:v>技术</x:v>
      </x:c>
      <x:c r="G173" s="1" t="str">
        <x:v>紧急</x:v>
      </x:c>
      <x:c r="H173" s="14" t="n">
        <x:v>240</x:v>
      </x:c>
      <x:c r="I173" s="1" t="n">
        <x:v>0</x:v>
      </x:c>
      <x:c r="J173" s="39" t="n">
        <x:f>IF(AND(C173&gt;='制度参数'!$B$13,C173&lt;='制度参数'!$B$14,D173="已关闭",E173="有效"),1,0)</x:f>
        <x:v>1</x:v>
      </x:c>
      <x:c r="K173" s="39" t="n">
        <x:f>VLOOKUP(B173,'员工计算'!$A$5:$H$16,8,FALSE)</x:f>
        <x:v>1</x:v>
      </x:c>
      <x:c r="L173" s="1" t="n">
        <x:f>J173*K173</x:f>
        <x:v>1</x:v>
      </x:c>
      <x:c r="M173" s="41" t="n">
        <x:f>VLOOKUP(G173,'制度参数'!$H$5:$I$7,2,FALSE)</x:f>
        <x:v>2</x:v>
      </x:c>
      <x:c r="N173" s="39" t="n">
        <x:f>VLOOKUP(F173,'制度参数'!$K$5:$L$7,2,FALSE)</x:f>
        <x:v>240</x:v>
      </x:c>
      <x:c r="O173" s="41" t="n">
        <x:f>IF(H173&lt;=N173,'制度参数'!$B$21,IF(H173&lt;=N173*'制度参数'!$B$24,'制度参数'!$B$22,'制度参数'!$B$23))</x:f>
        <x:v>1.1</x:v>
      </x:c>
      <x:c r="P173" s="31" t="n">
        <x:f>L173*M173*O173</x:f>
        <x:v>2.2</x:v>
      </x:c>
      <x:c r="Q173" s="1" t="n">
        <x:f>L173*I173</x:f>
        <x:v>0</x:v>
      </x:c>
      <x:c r="R173" s="39" t="str">
        <x:f>IF(L173=1,"有效计件",IF(J173=1,"人员无计奖资格",IF(OR(C173&lt;'制度参数'!$B$13,C173&gt;'制度参数'!$B$14),"关闭日期不在本月",IF(D173&lt;&gt;"已关闭","非已关闭","复核非有效"))))</x:f>
        <x:v>有效计件</x:v>
      </x:c>
    </x:row>
    <x:row r="174" ht="24" customHeight="1">
      <x:c r="A174" s="9" t="str">
        <x:v>T112-011</x:v>
      </x:c>
      <x:c r="B174" s="9" t="str">
        <x:v>CS112</x:v>
      </x:c>
      <x:c r="C174" s="13" t="n">
        <x:v>46267</x:v>
      </x:c>
      <x:c r="D174" s="9" t="str">
        <x:v>已关闭</x:v>
      </x:c>
      <x:c r="E174" s="9" t="str">
        <x:v>有效</x:v>
      </x:c>
      <x:c r="F174" s="9" t="str">
        <x:v>咨询</x:v>
      </x:c>
      <x:c r="G174" s="9" t="str">
        <x:v>紧急</x:v>
      </x:c>
      <x:c r="H174" s="15" t="n">
        <x:v>30</x:v>
      </x:c>
      <x:c r="I174" s="9" t="n">
        <x:v>0</x:v>
      </x:c>
      <x:c r="J174" s="40" t="n">
        <x:f>IF(AND(C174&gt;='制度参数'!$B$13,C174&lt;='制度参数'!$B$14,D174="已关闭",E174="有效"),1,0)</x:f>
        <x:v>1</x:v>
      </x:c>
      <x:c r="K174" s="40" t="n">
        <x:f>VLOOKUP(B174,'员工计算'!$A$5:$H$16,8,FALSE)</x:f>
        <x:v>1</x:v>
      </x:c>
      <x:c r="L174" s="9" t="n">
        <x:f>J174*K174</x:f>
        <x:v>1</x:v>
      </x:c>
      <x:c r="M174" s="42" t="n">
        <x:f>VLOOKUP(G174,'制度参数'!$H$5:$I$7,2,FALSE)</x:f>
        <x:v>2</x:v>
      </x:c>
      <x:c r="N174" s="40" t="n">
        <x:f>VLOOKUP(F174,'制度参数'!$K$5:$L$7,2,FALSE)</x:f>
        <x:v>30</x:v>
      </x:c>
      <x:c r="O174" s="42" t="n">
        <x:f>IF(H174&lt;=N174,'制度参数'!$B$21,IF(H174&lt;=N174*'制度参数'!$B$24,'制度参数'!$B$22,'制度参数'!$B$23))</x:f>
        <x:v>1.1</x:v>
      </x:c>
      <x:c r="P174" s="32" t="n">
        <x:f>L174*M174*O174</x:f>
        <x:v>2.2</x:v>
      </x:c>
      <x:c r="Q174" s="9" t="n">
        <x:f>L174*I174</x:f>
        <x:v>0</x:v>
      </x:c>
      <x:c r="R174" s="40" t="str">
        <x:f>IF(L174=1,"有效计件",IF(J174=1,"人员无计奖资格",IF(OR(C174&lt;'制度参数'!$B$13,C174&gt;'制度参数'!$B$14),"关闭日期不在本月",IF(D174&lt;&gt;"已关闭","非已关闭","复核非有效"))))</x:f>
        <x:v>有效计件</x:v>
      </x:c>
    </x:row>
    <x:row r="175" ht="24" customHeight="1">
      <x:c r="A175" s="1" t="str">
        <x:v>T112-012</x:v>
      </x:c>
      <x:c r="B175" s="1" t="str">
        <x:v>CS112</x:v>
      </x:c>
      <x:c r="C175" s="12" t="n">
        <x:v>46269</x:v>
      </x:c>
      <x:c r="D175" s="1" t="str">
        <x:v>已关闭</x:v>
      </x:c>
      <x:c r="E175" s="1" t="str">
        <x:v>有效</x:v>
      </x:c>
      <x:c r="F175" s="1" t="str">
        <x:v>投诉</x:v>
      </x:c>
      <x:c r="G175" s="1" t="str">
        <x:v>紧急</x:v>
      </x:c>
      <x:c r="H175" s="14" t="n">
        <x:v>120</x:v>
      </x:c>
      <x:c r="I175" s="1" t="n">
        <x:v>0</x:v>
      </x:c>
      <x:c r="J175" s="39" t="n">
        <x:f>IF(AND(C175&gt;='制度参数'!$B$13,C175&lt;='制度参数'!$B$14,D175="已关闭",E175="有效"),1,0)</x:f>
        <x:v>1</x:v>
      </x:c>
      <x:c r="K175" s="39" t="n">
        <x:f>VLOOKUP(B175,'员工计算'!$A$5:$H$16,8,FALSE)</x:f>
        <x:v>1</x:v>
      </x:c>
      <x:c r="L175" s="1" t="n">
        <x:f>J175*K175</x:f>
        <x:v>1</x:v>
      </x:c>
      <x:c r="M175" s="41" t="n">
        <x:f>VLOOKUP(G175,'制度参数'!$H$5:$I$7,2,FALSE)</x:f>
        <x:v>2</x:v>
      </x:c>
      <x:c r="N175" s="39" t="n">
        <x:f>VLOOKUP(F175,'制度参数'!$K$5:$L$7,2,FALSE)</x:f>
        <x:v>120</x:v>
      </x:c>
      <x:c r="O175" s="41" t="n">
        <x:f>IF(H175&lt;=N175,'制度参数'!$B$21,IF(H175&lt;=N175*'制度参数'!$B$24,'制度参数'!$B$22,'制度参数'!$B$23))</x:f>
        <x:v>1.1</x:v>
      </x:c>
      <x:c r="P175" s="31" t="n">
        <x:f>L175*M175*O175</x:f>
        <x:v>2.2</x:v>
      </x:c>
      <x:c r="Q175" s="1" t="n">
        <x:f>L175*I175</x:f>
        <x:v>0</x:v>
      </x:c>
      <x:c r="R175" s="39" t="str">
        <x:f>IF(L175=1,"有效计件",IF(J175=1,"人员无计奖资格",IF(OR(C175&lt;'制度参数'!$B$13,C175&gt;'制度参数'!$B$14),"关闭日期不在本月",IF(D175&lt;&gt;"已关闭","非已关闭","复核非有效"))))</x:f>
        <x:v>有效计件</x:v>
      </x:c>
    </x:row>
    <x:row r="176" ht="24" customHeight="1">
      <x:c r="A176" s="9" t="str">
        <x:v>T112-013</x:v>
      </x:c>
      <x:c r="B176" s="9" t="str">
        <x:v>CS112</x:v>
      </x:c>
      <x:c r="C176" s="13" t="n">
        <x:v>46295</x:v>
      </x:c>
      <x:c r="D176" s="9" t="str">
        <x:v>已关闭</x:v>
      </x:c>
      <x:c r="E176" s="9" t="str">
        <x:v>有效</x:v>
      </x:c>
      <x:c r="F176" s="9" t="str">
        <x:v>技术</x:v>
      </x:c>
      <x:c r="G176" s="9" t="str">
        <x:v>紧急</x:v>
      </x:c>
      <x:c r="H176" s="15" t="n">
        <x:v>240</x:v>
      </x:c>
      <x:c r="I176" s="9" t="n">
        <x:v>0</x:v>
      </x:c>
      <x:c r="J176" s="40" t="n">
        <x:f>IF(AND(C176&gt;='制度参数'!$B$13,C176&lt;='制度参数'!$B$14,D176="已关闭",E176="有效"),1,0)</x:f>
        <x:v>1</x:v>
      </x:c>
      <x:c r="K176" s="40" t="n">
        <x:f>VLOOKUP(B176,'员工计算'!$A$5:$H$16,8,FALSE)</x:f>
        <x:v>1</x:v>
      </x:c>
      <x:c r="L176" s="9" t="n">
        <x:f>J176*K176</x:f>
        <x:v>1</x:v>
      </x:c>
      <x:c r="M176" s="42" t="n">
        <x:f>VLOOKUP(G176,'制度参数'!$H$5:$I$7,2,FALSE)</x:f>
        <x:v>2</x:v>
      </x:c>
      <x:c r="N176" s="40" t="n">
        <x:f>VLOOKUP(F176,'制度参数'!$K$5:$L$7,2,FALSE)</x:f>
        <x:v>240</x:v>
      </x:c>
      <x:c r="O176" s="42" t="n">
        <x:f>IF(H176&lt;=N176,'制度参数'!$B$21,IF(H176&lt;=N176*'制度参数'!$B$24,'制度参数'!$B$22,'制度参数'!$B$23))</x:f>
        <x:v>1.1</x:v>
      </x:c>
      <x:c r="P176" s="32" t="n">
        <x:f>L176*M176*O176</x:f>
        <x:v>2.2</x:v>
      </x:c>
      <x:c r="Q176" s="9" t="n">
        <x:f>L176*I176</x:f>
        <x:v>0</x:v>
      </x:c>
      <x:c r="R176" s="40" t="str">
        <x:f>IF(L176=1,"有效计件",IF(J176=1,"人员无计奖资格",IF(OR(C176&lt;'制度参数'!$B$13,C176&gt;'制度参数'!$B$14),"关闭日期不在本月",IF(D176&lt;&gt;"已关闭","非已关闭","复核非有效"))))</x:f>
        <x:v>有效计件</x:v>
      </x:c>
    </x:row>
    <x:row r="177" ht="24" customHeight="1">
      <x:c r="A177" s="1" t="str">
        <x:v>T112-014</x:v>
      </x:c>
      <x:c r="B177" s="1" t="str">
        <x:v>CS112</x:v>
      </x:c>
      <x:c r="C177" s="12" t="n">
        <x:v>46273</x:v>
      </x:c>
      <x:c r="D177" s="1" t="str">
        <x:v>处理中</x:v>
      </x:c>
      <x:c r="E177" s="1" t="str">
        <x:v>有效</x:v>
      </x:c>
      <x:c r="F177" s="1" t="str">
        <x:v>咨询</x:v>
      </x:c>
      <x:c r="G177" s="1" t="str">
        <x:v>复杂</x:v>
      </x:c>
      <x:c r="H177" s="14" t="n">
        <x:v>30</x:v>
      </x:c>
      <x:c r="I177" s="1" t="n">
        <x:v>0</x:v>
      </x:c>
      <x:c r="J177" s="39" t="n">
        <x:f>IF(AND(C177&gt;='制度参数'!$B$13,C177&lt;='制度参数'!$B$14,D177="已关闭",E177="有效"),1,0)</x:f>
        <x:v>0</x:v>
      </x:c>
      <x:c r="K177" s="39" t="n">
        <x:f>VLOOKUP(B177,'员工计算'!$A$5:$H$16,8,FALSE)</x:f>
        <x:v>1</x:v>
      </x:c>
      <x:c r="L177" s="1" t="n">
        <x:f>J177*K177</x:f>
        <x:v>0</x:v>
      </x:c>
      <x:c r="M177" s="41" t="n">
        <x:f>VLOOKUP(G177,'制度参数'!$H$5:$I$7,2,FALSE)</x:f>
        <x:v>1.5</x:v>
      </x:c>
      <x:c r="N177" s="39" t="n">
        <x:f>VLOOKUP(F177,'制度参数'!$K$5:$L$7,2,FALSE)</x:f>
        <x:v>30</x:v>
      </x:c>
      <x:c r="O177" s="41" t="n">
        <x:f>IF(H177&lt;=N177,'制度参数'!$B$21,IF(H177&lt;=N177*'制度参数'!$B$24,'制度参数'!$B$22,'制度参数'!$B$23))</x:f>
        <x:v>1.1</x:v>
      </x:c>
      <x:c r="P177" s="31" t="n">
        <x:f>L177*M177*O177</x:f>
        <x:v>0</x:v>
      </x:c>
      <x:c r="Q177" s="1" t="n">
        <x:f>L177*I177</x:f>
        <x:v>0</x:v>
      </x:c>
      <x:c r="R177" s="39" t="str">
        <x:f>IF(L177=1,"有效计件",IF(J177=1,"人员无计奖资格",IF(OR(C177&lt;'制度参数'!$B$13,C177&gt;'制度参数'!$B$14),"关闭日期不在本月",IF(D177&lt;&gt;"已关闭","非已关闭","复核非有效"))))</x:f>
        <x:v>非已关闭</x:v>
      </x:c>
    </x:row>
    <x:row r="178" ht="24" customHeight="1">
      <x:c r="A178" s="9" t="str">
        <x:v>T112-015</x:v>
      </x:c>
      <x:c r="B178" s="9" t="str">
        <x:v>CS112</x:v>
      </x:c>
      <x:c r="C178" s="13" t="n">
        <x:v>46275</x:v>
      </x:c>
      <x:c r="D178" s="9" t="str">
        <x:v>已作废</x:v>
      </x:c>
      <x:c r="E178" s="9" t="str">
        <x:v>有效</x:v>
      </x:c>
      <x:c r="F178" s="9" t="str">
        <x:v>投诉</x:v>
      </x:c>
      <x:c r="G178" s="9" t="str">
        <x:v>普通</x:v>
      </x:c>
      <x:c r="H178" s="15" t="n">
        <x:v>240</x:v>
      </x:c>
      <x:c r="I178" s="9" t="n">
        <x:v>0</x:v>
      </x:c>
      <x:c r="J178" s="40" t="n">
        <x:f>IF(AND(C178&gt;='制度参数'!$B$13,C178&lt;='制度参数'!$B$14,D178="已关闭",E178="有效"),1,0)</x:f>
        <x:v>0</x:v>
      </x:c>
      <x:c r="K178" s="40" t="n">
        <x:f>VLOOKUP(B178,'员工计算'!$A$5:$H$16,8,FALSE)</x:f>
        <x:v>1</x:v>
      </x:c>
      <x:c r="L178" s="9" t="n">
        <x:f>J178*K178</x:f>
        <x:v>0</x:v>
      </x:c>
      <x:c r="M178" s="42" t="n">
        <x:f>VLOOKUP(G178,'制度参数'!$H$5:$I$7,2,FALSE)</x:f>
        <x:v>1</x:v>
      </x:c>
      <x:c r="N178" s="40" t="n">
        <x:f>VLOOKUP(F178,'制度参数'!$K$5:$L$7,2,FALSE)</x:f>
        <x:v>120</x:v>
      </x:c>
      <x:c r="O178" s="42" t="n">
        <x:f>IF(H178&lt;=N178,'制度参数'!$B$21,IF(H178&lt;=N178*'制度参数'!$B$24,'制度参数'!$B$22,'制度参数'!$B$23))</x:f>
        <x:v>0.8</x:v>
      </x:c>
      <x:c r="P178" s="32" t="n">
        <x:f>L178*M178*O178</x:f>
        <x:v>0</x:v>
      </x:c>
      <x:c r="Q178" s="9" t="n">
        <x:f>L178*I178</x:f>
        <x:v>0</x:v>
      </x:c>
      <x:c r="R178" s="40" t="str">
        <x:f>IF(L178=1,"有效计件",IF(J178=1,"人员无计奖资格",IF(OR(C178&lt;'制度参数'!$B$13,C178&gt;'制度参数'!$B$14),"关闭日期不在本月",IF(D178&lt;&gt;"已关闭","非已关闭","复核非有效"))))</x:f>
        <x:v>非已关闭</x:v>
      </x:c>
    </x:row>
    <x:row r="179" ht="24" customHeight="1">
      <x:c r="A179" s="1" t="str">
        <x:v>T112-016</x:v>
      </x:c>
      <x:c r="B179" s="1" t="str">
        <x:v>CS112</x:v>
      </x:c>
      <x:c r="C179" s="12" t="n">
        <x:v>46265</x:v>
      </x:c>
      <x:c r="D179" s="1" t="str">
        <x:v>已关闭</x:v>
      </x:c>
      <x:c r="E179" s="1" t="str">
        <x:v>有效</x:v>
      </x:c>
      <x:c r="F179" s="1" t="str">
        <x:v>技术</x:v>
      </x:c>
      <x:c r="G179" s="1" t="str">
        <x:v>紧急</x:v>
      </x:c>
      <x:c r="H179" s="14" t="n">
        <x:v>482.4</x:v>
      </x:c>
      <x:c r="I179" s="1" t="n">
        <x:v>1</x:v>
      </x:c>
      <x:c r="J179" s="39" t="n">
        <x:f>IF(AND(C179&gt;='制度参数'!$B$13,C179&lt;='制度参数'!$B$14,D179="已关闭",E179="有效"),1,0)</x:f>
        <x:v>0</x:v>
      </x:c>
      <x:c r="K179" s="39" t="n">
        <x:f>VLOOKUP(B179,'员工计算'!$A$5:$H$16,8,FALSE)</x:f>
        <x:v>1</x:v>
      </x:c>
      <x:c r="L179" s="1" t="n">
        <x:f>J179*K179</x:f>
        <x:v>0</x:v>
      </x:c>
      <x:c r="M179" s="41" t="n">
        <x:f>VLOOKUP(G179,'制度参数'!$H$5:$I$7,2,FALSE)</x:f>
        <x:v>2</x:v>
      </x:c>
      <x:c r="N179" s="39" t="n">
        <x:f>VLOOKUP(F179,'制度参数'!$K$5:$L$7,2,FALSE)</x:f>
        <x:v>240</x:v>
      </x:c>
      <x:c r="O179" s="41" t="n">
        <x:f>IF(H179&lt;=N179,'制度参数'!$B$21,IF(H179&lt;=N179*'制度参数'!$B$24,'制度参数'!$B$22,'制度参数'!$B$23))</x:f>
        <x:v>0.5</x:v>
      </x:c>
      <x:c r="P179" s="31" t="n">
        <x:f>L179*M179*O179</x:f>
        <x:v>0</x:v>
      </x:c>
      <x:c r="Q179" s="1" t="n">
        <x:f>L179*I179</x:f>
        <x:v>0</x:v>
      </x:c>
      <x:c r="R179" s="39" t="str">
        <x:f>IF(L179=1,"有效计件",IF(J179=1,"人员无计奖资格",IF(OR(C179&lt;'制度参数'!$B$13,C179&gt;'制度参数'!$B$14),"关闭日期不在本月",IF(D179&lt;&gt;"已关闭","非已关闭","复核非有效"))))</x:f>
        <x:v>关闭日期不在本月</x:v>
      </x:c>
    </x:row>
    <x:row r="180" ht="24" customHeight="1">
      <x:c r="A180" s="9" t="str">
        <x:v>T112-017</x:v>
      </x:c>
      <x:c r="B180" s="9" t="str">
        <x:v>CS112</x:v>
      </x:c>
      <x:c r="C180" s="13" t="n">
        <x:v>46296</x:v>
      </x:c>
      <x:c r="D180" s="9" t="str">
        <x:v>已关闭</x:v>
      </x:c>
      <x:c r="E180" s="9" t="str">
        <x:v>有效</x:v>
      </x:c>
      <x:c r="F180" s="9" t="str">
        <x:v>咨询</x:v>
      </x:c>
      <x:c r="G180" s="9" t="str">
        <x:v>复杂</x:v>
      </x:c>
      <x:c r="H180" s="15" t="n">
        <x:v>24</x:v>
      </x:c>
      <x:c r="I180" s="9" t="n">
        <x:v>0</x:v>
      </x:c>
      <x:c r="J180" s="40" t="n">
        <x:f>IF(AND(C180&gt;='制度参数'!$B$13,C180&lt;='制度参数'!$B$14,D180="已关闭",E180="有效"),1,0)</x:f>
        <x:v>0</x:v>
      </x:c>
      <x:c r="K180" s="40" t="n">
        <x:f>VLOOKUP(B180,'员工计算'!$A$5:$H$16,8,FALSE)</x:f>
        <x:v>1</x:v>
      </x:c>
      <x:c r="L180" s="9" t="n">
        <x:f>J180*K180</x:f>
        <x:v>0</x:v>
      </x:c>
      <x:c r="M180" s="42" t="n">
        <x:f>VLOOKUP(G180,'制度参数'!$H$5:$I$7,2,FALSE)</x:f>
        <x:v>1.5</x:v>
      </x:c>
      <x:c r="N180" s="40" t="n">
        <x:f>VLOOKUP(F180,'制度参数'!$K$5:$L$7,2,FALSE)</x:f>
        <x:v>30</x:v>
      </x:c>
      <x:c r="O180" s="42" t="n">
        <x:f>IF(H180&lt;=N180,'制度参数'!$B$21,IF(H180&lt;=N180*'制度参数'!$B$24,'制度参数'!$B$22,'制度参数'!$B$23))</x:f>
        <x:v>1.1</x:v>
      </x:c>
      <x:c r="P180" s="32" t="n">
        <x:f>L180*M180*O180</x:f>
        <x:v>0</x:v>
      </x:c>
      <x:c r="Q180" s="9" t="n">
        <x:f>L180*I180</x:f>
        <x:v>0</x:v>
      </x:c>
      <x:c r="R180" s="40" t="str">
        <x:f>IF(L180=1,"有效计件",IF(J180=1,"人员无计奖资格",IF(OR(C180&lt;'制度参数'!$B$13,C180&gt;'制度参数'!$B$14),"关闭日期不在本月",IF(D180&lt;&gt;"已关闭","非已关闭","复核非有效"))))</x:f>
        <x:v>关闭日期不在本月</x:v>
      </x:c>
    </x:row>
    <x:row r="181" ht="24" customHeight="1">
      <x:c r="A181" s="1" t="str">
        <x:v>T112-018</x:v>
      </x:c>
      <x:c r="B181" s="1" t="str">
        <x:v>CS112</x:v>
      </x:c>
      <x:c r="C181" s="12" t="n">
        <x:v>46281</x:v>
      </x:c>
      <x:c r="D181" s="1" t="str">
        <x:v>已关闭</x:v>
      </x:c>
      <x:c r="E181" s="1" t="str">
        <x:v>待确认</x:v>
      </x:c>
      <x:c r="F181" s="1" t="str">
        <x:v>投诉</x:v>
      </x:c>
      <x:c r="G181" s="1" t="str">
        <x:v>普通</x:v>
      </x:c>
      <x:c r="H181" s="14" t="n">
        <x:v>180</x:v>
      </x:c>
      <x:c r="I181" s="1" t="n">
        <x:v>2</x:v>
      </x:c>
      <x:c r="J181" s="39" t="n">
        <x:f>IF(AND(C181&gt;='制度参数'!$B$13,C181&lt;='制度参数'!$B$14,D181="已关闭",E181="有效"),1,0)</x:f>
        <x:v>0</x:v>
      </x:c>
      <x:c r="K181" s="39" t="n">
        <x:f>VLOOKUP(B181,'员工计算'!$A$5:$H$16,8,FALSE)</x:f>
        <x:v>1</x:v>
      </x:c>
      <x:c r="L181" s="1" t="n">
        <x:f>J181*K181</x:f>
        <x:v>0</x:v>
      </x:c>
      <x:c r="M181" s="41" t="n">
        <x:f>VLOOKUP(G181,'制度参数'!$H$5:$I$7,2,FALSE)</x:f>
        <x:v>1</x:v>
      </x:c>
      <x:c r="N181" s="39" t="n">
        <x:f>VLOOKUP(F181,'制度参数'!$K$5:$L$7,2,FALSE)</x:f>
        <x:v>120</x:v>
      </x:c>
      <x:c r="O181" s="41" t="n">
        <x:f>IF(H181&lt;=N181,'制度参数'!$B$21,IF(H181&lt;=N181*'制度参数'!$B$24,'制度参数'!$B$22,'制度参数'!$B$23))</x:f>
        <x:v>0.8</x:v>
      </x:c>
      <x:c r="P181" s="31" t="n">
        <x:f>L181*M181*O181</x:f>
        <x:v>0</x:v>
      </x:c>
      <x:c r="Q181" s="1" t="n">
        <x:f>L181*I181</x:f>
        <x:v>0</x:v>
      </x:c>
      <x:c r="R181" s="39" t="str">
        <x:f>IF(L181=1,"有效计件",IF(J181=1,"人员无计奖资格",IF(OR(C181&lt;'制度参数'!$B$13,C181&gt;'制度参数'!$B$14),"关闭日期不在本月",IF(D181&lt;&gt;"已关闭","非已关闭","复核非有效"))))</x:f>
        <x:v>复核非有效</x:v>
      </x:c>
    </x:row>
    <x:row r="182" ht="24" customHeight="1">
      <x:c r="A182" s="9" t="str">
        <x:v>T112-019</x:v>
      </x:c>
      <x:c r="B182" s="9" t="str">
        <x:v>CS112</x:v>
      </x:c>
      <x:c r="C182" s="13" t="n">
        <x:v>46283</x:v>
      </x:c>
      <x:c r="D182" s="9" t="str">
        <x:v>已关闭</x:v>
      </x:c>
      <x:c r="E182" s="9" t="str">
        <x:v>无效</x:v>
      </x:c>
      <x:c r="F182" s="9" t="str">
        <x:v>技术</x:v>
      </x:c>
      <x:c r="G182" s="9" t="str">
        <x:v>紧急</x:v>
      </x:c>
      <x:c r="H182" s="15" t="n">
        <x:v>720</x:v>
      </x:c>
      <x:c r="I182" s="9" t="n">
        <x:v>0</x:v>
      </x:c>
      <x:c r="J182" s="40" t="n">
        <x:f>IF(AND(C182&gt;='制度参数'!$B$13,C182&lt;='制度参数'!$B$14,D182="已关闭",E182="有效"),1,0)</x:f>
        <x:v>0</x:v>
      </x:c>
      <x:c r="K182" s="40" t="n">
        <x:f>VLOOKUP(B182,'员工计算'!$A$5:$H$16,8,FALSE)</x:f>
        <x:v>1</x:v>
      </x:c>
      <x:c r="L182" s="9" t="n">
        <x:f>J182*K182</x:f>
        <x:v>0</x:v>
      </x:c>
      <x:c r="M182" s="42" t="n">
        <x:f>VLOOKUP(G182,'制度参数'!$H$5:$I$7,2,FALSE)</x:f>
        <x:v>2</x:v>
      </x:c>
      <x:c r="N182" s="40" t="n">
        <x:f>VLOOKUP(F182,'制度参数'!$K$5:$L$7,2,FALSE)</x:f>
        <x:v>240</x:v>
      </x:c>
      <x:c r="O182" s="42" t="n">
        <x:f>IF(H182&lt;=N182,'制度参数'!$B$21,IF(H182&lt;=N182*'制度参数'!$B$24,'制度参数'!$B$22,'制度参数'!$B$23))</x:f>
        <x:v>0.5</x:v>
      </x:c>
      <x:c r="P182" s="32" t="n">
        <x:f>L182*M182*O182</x:f>
        <x:v>0</x:v>
      </x:c>
      <x:c r="Q182" s="9" t="n">
        <x:f>L182*I182</x:f>
        <x:v>0</x:v>
      </x:c>
      <x:c r="R182" s="40" t="str">
        <x:f>IF(L182=1,"有效计件",IF(J182=1,"人员无计奖资格",IF(OR(C182&lt;'制度参数'!$B$13,C182&gt;'制度参数'!$B$14),"关闭日期不在本月",IF(D182&lt;&gt;"已关闭","非已关闭","复核非有效"))))</x:f>
        <x:v>复核非有效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2" hidden="0" customWidth="1"/>
    <x:col min="4" max="4" width="19" hidden="0" customWidth="1"/>
    <x:col min="5" max="5" width="18" hidden="0" customWidth="1"/>
    <x:col min="6" max="6" width="22" hidden="0" customWidth="1"/>
    <x:col min="7" max="7" width="20" hidden="0" customWidth="1"/>
    <x:col min="8" max="8" width="24" hidden="0" customWidth="1"/>
    <x:col min="9" max="9" width="23" hidden="0" customWidth="1"/>
    <x:col min="10" max="10" width="23" hidden="0" customWidth="1"/>
    <x:col min="11" max="11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质检筛选与差错扣减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3" t="str">
        <x:v>原始记录来源：04_客服验收业务数据.xlsx“质检记录”。按检查日期归期，不按关联工单的关闭日期归期。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4" customHeight="1">
      <x:c r="A4" s="8" t="str">
        <x:v>质检编号</x:v>
      </x:c>
      <x:c r="B4" s="8" t="str">
        <x:v>工号</x:v>
      </x:c>
      <x:c r="C4" s="8" t="str">
        <x:v>关联工单编号</x:v>
      </x:c>
      <x:c r="D4" s="8" t="str">
        <x:v>检查日期</x:v>
      </x:c>
      <x:c r="E4" s="8" t="str">
        <x:v>质量得分</x:v>
      </x:c>
      <x:c r="F4" s="8" t="str">
        <x:v>差错等级</x:v>
      </x:c>
      <x:c r="G4" s="8" t="str">
        <x:v>复核状态</x:v>
      </x:c>
      <x:c r="H4" s="8" t="str">
        <x:v>合格质检标记</x:v>
      </x:c>
      <x:c r="I4" s="8" t="str">
        <x:v>有效质量得分</x:v>
      </x:c>
      <x:c r="J4" s="8" t="str">
        <x:v>有效差错扣款</x:v>
      </x:c>
      <x:c r="K4" s="8" t="str">
        <x:v>筛选说明</x:v>
      </x:c>
    </x:row>
    <x:row r="5" ht="24" customHeight="1">
      <x:c r="A5" s="1" t="str">
        <x:v>Q101-01</x:v>
      </x:c>
      <x:c r="B5" s="1" t="str">
        <x:v>CS101</x:v>
      </x:c>
      <x:c r="C5" s="1" t="str">
        <x:v>T101-001</x:v>
      </x:c>
      <x:c r="D5" s="12" t="n">
        <x:v>46273</x:v>
      </x:c>
      <x:c r="E5" s="1" t="n">
        <x:v>94</x:v>
      </x:c>
      <x:c r="F5" s="1" t="str">
        <x:v>无差错</x:v>
      </x:c>
      <x:c r="G5" s="1" t="str">
        <x:v>已复核</x:v>
      </x:c>
      <x:c r="H5" s="39" t="n">
        <x:f>IF(AND(D5&gt;='制度参数'!$B$13,D5&lt;='制度参数'!$B$14,G5="已复核"),1,0)</x:f>
        <x:v>1</x:v>
      </x:c>
      <x:c r="I5" s="1" t="n">
        <x:f>H5*E5</x:f>
        <x:v>94</x:v>
      </x:c>
      <x:c r="J5" s="37" t="n">
        <x:f>H5*VLOOKUP(F5,'制度参数'!$Q$5:$R$7,2,FALSE)</x:f>
        <x:v>0</x:v>
      </x:c>
      <x:c r="K5" s="39" t="str">
        <x:f>IF(H5=1,"有效质检",IF(OR(D5&lt;'制度参数'!$B$13,D5&gt;'制度参数'!$B$14),"检查日期不在本月","复核未完成"))</x:f>
        <x:v>有效质检</x:v>
      </x:c>
    </x:row>
    <x:row r="6" ht="24" customHeight="1">
      <x:c r="A6" s="9" t="str">
        <x:v>Q101-02</x:v>
      </x:c>
      <x:c r="B6" s="9" t="str">
        <x:v>CS101</x:v>
      </x:c>
      <x:c r="C6" s="9" t="str">
        <x:v>T101-002</x:v>
      </x:c>
      <x:c r="D6" s="13" t="n">
        <x:v>46280</x:v>
      </x:c>
      <x:c r="E6" s="9" t="n">
        <x:v>95</x:v>
      </x:c>
      <x:c r="F6" s="9" t="str">
        <x:v>一般差错</x:v>
      </x:c>
      <x:c r="G6" s="9" t="str">
        <x:v>已复核</x:v>
      </x:c>
      <x:c r="H6" s="40" t="n">
        <x:f>IF(AND(D6&gt;='制度参数'!$B$13,D6&lt;='制度参数'!$B$14,G6="已复核"),1,0)</x:f>
        <x:v>1</x:v>
      </x:c>
      <x:c r="I6" s="9" t="n">
        <x:f>H6*E6</x:f>
        <x:v>95</x:v>
      </x:c>
      <x:c r="J6" s="38" t="n">
        <x:f>H6*VLOOKUP(F6,'制度参数'!$Q$5:$R$7,2,FALSE)</x:f>
        <x:v>20</x:v>
      </x:c>
      <x:c r="K6" s="40" t="str">
        <x:f>IF(H6=1,"有效质检",IF(OR(D6&lt;'制度参数'!$B$13,D6&gt;'制度参数'!$B$14),"检查日期不在本月","复核未完成"))</x:f>
        <x:v>有效质检</x:v>
      </x:c>
    </x:row>
    <x:row r="7" ht="24" customHeight="1">
      <x:c r="A7" s="1" t="str">
        <x:v>Q101-03</x:v>
      </x:c>
      <x:c r="B7" s="1" t="str">
        <x:v>CS101</x:v>
      </x:c>
      <x:c r="C7" s="1" t="str">
        <x:v>T101-003</x:v>
      </x:c>
      <x:c r="D7" s="12" t="n">
        <x:v>46287</x:v>
      </x:c>
      <x:c r="E7" s="1" t="n">
        <x:v>96</x:v>
      </x:c>
      <x:c r="F7" s="1" t="str">
        <x:v>无差错</x:v>
      </x:c>
      <x:c r="G7" s="1" t="str">
        <x:v>已复核</x:v>
      </x:c>
      <x:c r="H7" s="39" t="n">
        <x:f>IF(AND(D7&gt;='制度参数'!$B$13,D7&lt;='制度参数'!$B$14,G7="已复核"),1,0)</x:f>
        <x:v>1</x:v>
      </x:c>
      <x:c r="I7" s="1" t="n">
        <x:f>H7*E7</x:f>
        <x:v>96</x:v>
      </x:c>
      <x:c r="J7" s="37" t="n">
        <x:f>H7*VLOOKUP(F7,'制度参数'!$Q$5:$R$7,2,FALSE)</x:f>
        <x:v>0</x:v>
      </x:c>
      <x:c r="K7" s="39" t="str">
        <x:f>IF(H7=1,"有效质检",IF(OR(D7&lt;'制度参数'!$B$13,D7&gt;'制度参数'!$B$14),"检查日期不在本月","复核未完成"))</x:f>
        <x:v>有效质检</x:v>
      </x:c>
    </x:row>
    <x:row r="8" ht="24" customHeight="1">
      <x:c r="A8" s="9" t="str">
        <x:v>Q101-04</x:v>
      </x:c>
      <x:c r="B8" s="9" t="str">
        <x:v>CS101</x:v>
      </x:c>
      <x:c r="C8" s="9" t="str">
        <x:v>T101-004</x:v>
      </x:c>
      <x:c r="D8" s="13" t="n">
        <x:v>46265</x:v>
      </x:c>
      <x:c r="E8" s="9" t="n">
        <x:v>0</x:v>
      </x:c>
      <x:c r="F8" s="9" t="str">
        <x:v>严重差错</x:v>
      </x:c>
      <x:c r="G8" s="9" t="str">
        <x:v>已复核</x:v>
      </x:c>
      <x:c r="H8" s="40" t="n">
        <x:f>IF(AND(D8&gt;='制度参数'!$B$13,D8&lt;='制度参数'!$B$14,G8="已复核"),1,0)</x:f>
        <x:v>0</x:v>
      </x:c>
      <x:c r="I8" s="9" t="n">
        <x:f>H8*E8</x:f>
        <x:v>0</x:v>
      </x:c>
      <x:c r="J8" s="38" t="n">
        <x:f>H8*VLOOKUP(F8,'制度参数'!$Q$5:$R$7,2,FALSE)</x:f>
        <x:v>0</x:v>
      </x:c>
      <x:c r="K8" s="40" t="str">
        <x:f>IF(H8=1,"有效质检",IF(OR(D8&lt;'制度参数'!$B$13,D8&gt;'制度参数'!$B$14),"检查日期不在本月","复核未完成"))</x:f>
        <x:v>检查日期不在本月</x:v>
      </x:c>
    </x:row>
    <x:row r="9" ht="24" customHeight="1">
      <x:c r="A9" s="1" t="str">
        <x:v>Q101-05</x:v>
      </x:c>
      <x:c r="B9" s="1" t="str">
        <x:v>CS101</x:v>
      </x:c>
      <x:c r="C9" s="1" t="str">
        <x:v>T101-005</x:v>
      </x:c>
      <x:c r="D9" s="12" t="n">
        <x:v>46296</x:v>
      </x:c>
      <x:c r="E9" s="1" t="n">
        <x:v>0</x:v>
      </x:c>
      <x:c r="F9" s="1" t="str">
        <x:v>严重差错</x:v>
      </x:c>
      <x:c r="G9" s="1" t="str">
        <x:v>已复核</x:v>
      </x:c>
      <x:c r="H9" s="39" t="n">
        <x:f>IF(AND(D9&gt;='制度参数'!$B$13,D9&lt;='制度参数'!$B$14,G9="已复核"),1,0)</x:f>
        <x:v>0</x:v>
      </x:c>
      <x:c r="I9" s="1" t="n">
        <x:f>H9*E9</x:f>
        <x:v>0</x:v>
      </x:c>
      <x:c r="J9" s="37" t="n">
        <x:f>H9*VLOOKUP(F9,'制度参数'!$Q$5:$R$7,2,FALSE)</x:f>
        <x:v>0</x:v>
      </x:c>
      <x:c r="K9" s="39" t="str">
        <x:f>IF(H9=1,"有效质检",IF(OR(D9&lt;'制度参数'!$B$13,D9&gt;'制度参数'!$B$14),"检查日期不在本月","复核未完成"))</x:f>
        <x:v>检查日期不在本月</x:v>
      </x:c>
    </x:row>
    <x:row r="10" ht="24" customHeight="1">
      <x:c r="A10" s="9" t="str">
        <x:v>Q101-06</x:v>
      </x:c>
      <x:c r="B10" s="9" t="str">
        <x:v>CS101</x:v>
      </x:c>
      <x:c r="C10" s="9" t="str">
        <x:v>T101-006</x:v>
      </x:c>
      <x:c r="D10" s="13" t="n">
        <x:v>46294</x:v>
      </x:c>
      <x:c r="E10" s="9" t="n">
        <x:v>0</x:v>
      </x:c>
      <x:c r="F10" s="9" t="str">
        <x:v>严重差错</x:v>
      </x:c>
      <x:c r="G10" s="9" t="str">
        <x:v>待复核</x:v>
      </x:c>
      <x:c r="H10" s="40" t="n">
        <x:f>IF(AND(D10&gt;='制度参数'!$B$13,D10&lt;='制度参数'!$B$14,G10="已复核"),1,0)</x:f>
        <x:v>0</x:v>
      </x:c>
      <x:c r="I10" s="9" t="n">
        <x:f>H10*E10</x:f>
        <x:v>0</x:v>
      </x:c>
      <x:c r="J10" s="38" t="n">
        <x:f>H10*VLOOKUP(F10,'制度参数'!$Q$5:$R$7,2,FALSE)</x:f>
        <x:v>0</x:v>
      </x:c>
      <x:c r="K10" s="40" t="str">
        <x:f>IF(H10=1,"有效质检",IF(OR(D10&lt;'制度参数'!$B$13,D10&gt;'制度参数'!$B$14),"检查日期不在本月","复核未完成"))</x:f>
        <x:v>复核未完成</x:v>
      </x:c>
    </x:row>
    <x:row r="11" ht="24" customHeight="1">
      <x:c r="A11" s="1" t="str">
        <x:v>Q102-01</x:v>
      </x:c>
      <x:c r="B11" s="1" t="str">
        <x:v>CS102</x:v>
      </x:c>
      <x:c r="C11" s="1" t="str">
        <x:v>T102-001</x:v>
      </x:c>
      <x:c r="D11" s="12" t="n">
        <x:v>46273</x:v>
      </x:c>
      <x:c r="E11" s="1" t="n">
        <x:v>84</x:v>
      </x:c>
      <x:c r="F11" s="1" t="str">
        <x:v>一般差错</x:v>
      </x:c>
      <x:c r="G11" s="1" t="str">
        <x:v>已复核</x:v>
      </x:c>
      <x:c r="H11" s="39" t="n">
        <x:f>IF(AND(D11&gt;='制度参数'!$B$13,D11&lt;='制度参数'!$B$14,G11="已复核"),1,0)</x:f>
        <x:v>1</x:v>
      </x:c>
      <x:c r="I11" s="1" t="n">
        <x:f>H11*E11</x:f>
        <x:v>84</x:v>
      </x:c>
      <x:c r="J11" s="37" t="n">
        <x:f>H11*VLOOKUP(F11,'制度参数'!$Q$5:$R$7,2,FALSE)</x:f>
        <x:v>20</x:v>
      </x:c>
      <x:c r="K11" s="39" t="str">
        <x:f>IF(H11=1,"有效质检",IF(OR(D11&lt;'制度参数'!$B$13,D11&gt;'制度参数'!$B$14),"检查日期不在本月","复核未完成"))</x:f>
        <x:v>有效质检</x:v>
      </x:c>
    </x:row>
    <x:row r="12" ht="24" customHeight="1">
      <x:c r="A12" s="9" t="str">
        <x:v>Q102-02</x:v>
      </x:c>
      <x:c r="B12" s="9" t="str">
        <x:v>CS102</x:v>
      </x:c>
      <x:c r="C12" s="9" t="str">
        <x:v>T102-002</x:v>
      </x:c>
      <x:c r="D12" s="13" t="n">
        <x:v>46280</x:v>
      </x:c>
      <x:c r="E12" s="9" t="n">
        <x:v>85</x:v>
      </x:c>
      <x:c r="F12" s="9" t="str">
        <x:v>无差错</x:v>
      </x:c>
      <x:c r="G12" s="9" t="str">
        <x:v>已复核</x:v>
      </x:c>
      <x:c r="H12" s="40" t="n">
        <x:f>IF(AND(D12&gt;='制度参数'!$B$13,D12&lt;='制度参数'!$B$14,G12="已复核"),1,0)</x:f>
        <x:v>1</x:v>
      </x:c>
      <x:c r="I12" s="9" t="n">
        <x:f>H12*E12</x:f>
        <x:v>85</x:v>
      </x:c>
      <x:c r="J12" s="38" t="n">
        <x:f>H12*VLOOKUP(F12,'制度参数'!$Q$5:$R$7,2,FALSE)</x:f>
        <x:v>0</x:v>
      </x:c>
      <x:c r="K12" s="40" t="str">
        <x:f>IF(H12=1,"有效质检",IF(OR(D12&lt;'制度参数'!$B$13,D12&gt;'制度参数'!$B$14),"检查日期不在本月","复核未完成"))</x:f>
        <x:v>有效质检</x:v>
      </x:c>
    </x:row>
    <x:row r="13" ht="24" customHeight="1">
      <x:c r="A13" s="1" t="str">
        <x:v>Q102-03</x:v>
      </x:c>
      <x:c r="B13" s="1" t="str">
        <x:v>CS102</x:v>
      </x:c>
      <x:c r="C13" s="1" t="str">
        <x:v>T102-003</x:v>
      </x:c>
      <x:c r="D13" s="12" t="n">
        <x:v>46287</x:v>
      </x:c>
      <x:c r="E13" s="1" t="n">
        <x:v>86</x:v>
      </x:c>
      <x:c r="F13" s="1" t="str">
        <x:v>无差错</x:v>
      </x:c>
      <x:c r="G13" s="1" t="str">
        <x:v>已复核</x:v>
      </x:c>
      <x:c r="H13" s="39" t="n">
        <x:f>IF(AND(D13&gt;='制度参数'!$B$13,D13&lt;='制度参数'!$B$14,G13="已复核"),1,0)</x:f>
        <x:v>1</x:v>
      </x:c>
      <x:c r="I13" s="1" t="n">
        <x:f>H13*E13</x:f>
        <x:v>86</x:v>
      </x:c>
      <x:c r="J13" s="37" t="n">
        <x:f>H13*VLOOKUP(F13,'制度参数'!$Q$5:$R$7,2,FALSE)</x:f>
        <x:v>0</x:v>
      </x:c>
      <x:c r="K13" s="39" t="str">
        <x:f>IF(H13=1,"有效质检",IF(OR(D13&lt;'制度参数'!$B$13,D13&gt;'制度参数'!$B$14),"检查日期不在本月","复核未完成"))</x:f>
        <x:v>有效质检</x:v>
      </x:c>
    </x:row>
    <x:row r="14" ht="24" customHeight="1">
      <x:c r="A14" s="9" t="str">
        <x:v>Q102-04</x:v>
      </x:c>
      <x:c r="B14" s="9" t="str">
        <x:v>CS102</x:v>
      </x:c>
      <x:c r="C14" s="9" t="str">
        <x:v>T102-004</x:v>
      </x:c>
      <x:c r="D14" s="13" t="n">
        <x:v>46265</x:v>
      </x:c>
      <x:c r="E14" s="9" t="n">
        <x:v>0</x:v>
      </x:c>
      <x:c r="F14" s="9" t="str">
        <x:v>严重差错</x:v>
      </x:c>
      <x:c r="G14" s="9" t="str">
        <x:v>已复核</x:v>
      </x:c>
      <x:c r="H14" s="40" t="n">
        <x:f>IF(AND(D14&gt;='制度参数'!$B$13,D14&lt;='制度参数'!$B$14,G14="已复核"),1,0)</x:f>
        <x:v>0</x:v>
      </x:c>
      <x:c r="I14" s="9" t="n">
        <x:f>H14*E14</x:f>
        <x:v>0</x:v>
      </x:c>
      <x:c r="J14" s="38" t="n">
        <x:f>H14*VLOOKUP(F14,'制度参数'!$Q$5:$R$7,2,FALSE)</x:f>
        <x:v>0</x:v>
      </x:c>
      <x:c r="K14" s="40" t="str">
        <x:f>IF(H14=1,"有效质检",IF(OR(D14&lt;'制度参数'!$B$13,D14&gt;'制度参数'!$B$14),"检查日期不在本月","复核未完成"))</x:f>
        <x:v>检查日期不在本月</x:v>
      </x:c>
    </x:row>
    <x:row r="15" ht="24" customHeight="1">
      <x:c r="A15" s="1" t="str">
        <x:v>Q102-05</x:v>
      </x:c>
      <x:c r="B15" s="1" t="str">
        <x:v>CS102</x:v>
      </x:c>
      <x:c r="C15" s="1" t="str">
        <x:v>T102-005</x:v>
      </x:c>
      <x:c r="D15" s="12" t="n">
        <x:v>46296</x:v>
      </x:c>
      <x:c r="E15" s="1" t="n">
        <x:v>0</x:v>
      </x:c>
      <x:c r="F15" s="1" t="str">
        <x:v>严重差错</x:v>
      </x:c>
      <x:c r="G15" s="1" t="str">
        <x:v>已复核</x:v>
      </x:c>
      <x:c r="H15" s="39" t="n">
        <x:f>IF(AND(D15&gt;='制度参数'!$B$13,D15&lt;='制度参数'!$B$14,G15="已复核"),1,0)</x:f>
        <x:v>0</x:v>
      </x:c>
      <x:c r="I15" s="1" t="n">
        <x:f>H15*E15</x:f>
        <x:v>0</x:v>
      </x:c>
      <x:c r="J15" s="37" t="n">
        <x:f>H15*VLOOKUP(F15,'制度参数'!$Q$5:$R$7,2,FALSE)</x:f>
        <x:v>0</x:v>
      </x:c>
      <x:c r="K15" s="39" t="str">
        <x:f>IF(H15=1,"有效质检",IF(OR(D15&lt;'制度参数'!$B$13,D15&gt;'制度参数'!$B$14),"检查日期不在本月","复核未完成"))</x:f>
        <x:v>检查日期不在本月</x:v>
      </x:c>
    </x:row>
    <x:row r="16" ht="24" customHeight="1">
      <x:c r="A16" s="9" t="str">
        <x:v>Q102-06</x:v>
      </x:c>
      <x:c r="B16" s="9" t="str">
        <x:v>CS102</x:v>
      </x:c>
      <x:c r="C16" s="9" t="str">
        <x:v>T102-006</x:v>
      </x:c>
      <x:c r="D16" s="13" t="n">
        <x:v>46294</x:v>
      </x:c>
      <x:c r="E16" s="9" t="n">
        <x:v>0</x:v>
      </x:c>
      <x:c r="F16" s="9" t="str">
        <x:v>严重差错</x:v>
      </x:c>
      <x:c r="G16" s="9" t="str">
        <x:v>待复核</x:v>
      </x:c>
      <x:c r="H16" s="40" t="n">
        <x:f>IF(AND(D16&gt;='制度参数'!$B$13,D16&lt;='制度参数'!$B$14,G16="已复核"),1,0)</x:f>
        <x:v>0</x:v>
      </x:c>
      <x:c r="I16" s="9" t="n">
        <x:f>H16*E16</x:f>
        <x:v>0</x:v>
      </x:c>
      <x:c r="J16" s="38" t="n">
        <x:f>H16*VLOOKUP(F16,'制度参数'!$Q$5:$R$7,2,FALSE)</x:f>
        <x:v>0</x:v>
      </x:c>
      <x:c r="K16" s="40" t="str">
        <x:f>IF(H16=1,"有效质检",IF(OR(D16&lt;'制度参数'!$B$13,D16&gt;'制度参数'!$B$14),"检查日期不在本月","复核未完成"))</x:f>
        <x:v>复核未完成</x:v>
      </x:c>
    </x:row>
    <x:row r="17" ht="24" customHeight="1">
      <x:c r="A17" s="1" t="str">
        <x:v>Q103-01</x:v>
      </x:c>
      <x:c r="B17" s="1" t="str">
        <x:v>CS103</x:v>
      </x:c>
      <x:c r="C17" s="1" t="str">
        <x:v>T103-001</x:v>
      </x:c>
      <x:c r="D17" s="12" t="n">
        <x:v>46273</x:v>
      </x:c>
      <x:c r="E17" s="1" t="n">
        <x:v>74</x:v>
      </x:c>
      <x:c r="F17" s="1" t="str">
        <x:v>一般差错</x:v>
      </x:c>
      <x:c r="G17" s="1" t="str">
        <x:v>已复核</x:v>
      </x:c>
      <x:c r="H17" s="39" t="n">
        <x:f>IF(AND(D17&gt;='制度参数'!$B$13,D17&lt;='制度参数'!$B$14,G17="已复核"),1,0)</x:f>
        <x:v>1</x:v>
      </x:c>
      <x:c r="I17" s="1" t="n">
        <x:f>H17*E17</x:f>
        <x:v>74</x:v>
      </x:c>
      <x:c r="J17" s="37" t="n">
        <x:f>H17*VLOOKUP(F17,'制度参数'!$Q$5:$R$7,2,FALSE)</x:f>
        <x:v>20</x:v>
      </x:c>
      <x:c r="K17" s="39" t="str">
        <x:f>IF(H17=1,"有效质检",IF(OR(D17&lt;'制度参数'!$B$13,D17&gt;'制度参数'!$B$14),"检查日期不在本月","复核未完成"))</x:f>
        <x:v>有效质检</x:v>
      </x:c>
    </x:row>
    <x:row r="18" ht="24" customHeight="1">
      <x:c r="A18" s="9" t="str">
        <x:v>Q103-02</x:v>
      </x:c>
      <x:c r="B18" s="9" t="str">
        <x:v>CS103</x:v>
      </x:c>
      <x:c r="C18" s="9" t="str">
        <x:v>T103-002</x:v>
      </x:c>
      <x:c r="D18" s="13" t="n">
        <x:v>46280</x:v>
      </x:c>
      <x:c r="E18" s="9" t="n">
        <x:v>75</x:v>
      </x:c>
      <x:c r="F18" s="9" t="str">
        <x:v>无差错</x:v>
      </x:c>
      <x:c r="G18" s="9" t="str">
        <x:v>已复核</x:v>
      </x:c>
      <x:c r="H18" s="40" t="n">
        <x:f>IF(AND(D18&gt;='制度参数'!$B$13,D18&lt;='制度参数'!$B$14,G18="已复核"),1,0)</x:f>
        <x:v>1</x:v>
      </x:c>
      <x:c r="I18" s="9" t="n">
        <x:f>H18*E18</x:f>
        <x:v>75</x:v>
      </x:c>
      <x:c r="J18" s="38" t="n">
        <x:f>H18*VLOOKUP(F18,'制度参数'!$Q$5:$R$7,2,FALSE)</x:f>
        <x:v>0</x:v>
      </x:c>
      <x:c r="K18" s="40" t="str">
        <x:f>IF(H18=1,"有效质检",IF(OR(D18&lt;'制度参数'!$B$13,D18&gt;'制度参数'!$B$14),"检查日期不在本月","复核未完成"))</x:f>
        <x:v>有效质检</x:v>
      </x:c>
    </x:row>
    <x:row r="19" ht="24" customHeight="1">
      <x:c r="A19" s="1" t="str">
        <x:v>Q103-03</x:v>
      </x:c>
      <x:c r="B19" s="1" t="str">
        <x:v>CS103</x:v>
      </x:c>
      <x:c r="C19" s="1" t="str">
        <x:v>T103-003</x:v>
      </x:c>
      <x:c r="D19" s="12" t="n">
        <x:v>46287</x:v>
      </x:c>
      <x:c r="E19" s="1" t="n">
        <x:v>76</x:v>
      </x:c>
      <x:c r="F19" s="1" t="str">
        <x:v>严重差错</x:v>
      </x:c>
      <x:c r="G19" s="1" t="str">
        <x:v>已复核</x:v>
      </x:c>
      <x:c r="H19" s="39" t="n">
        <x:f>IF(AND(D19&gt;='制度参数'!$B$13,D19&lt;='制度参数'!$B$14,G19="已复核"),1,0)</x:f>
        <x:v>1</x:v>
      </x:c>
      <x:c r="I19" s="1" t="n">
        <x:f>H19*E19</x:f>
        <x:v>76</x:v>
      </x:c>
      <x:c r="J19" s="37" t="n">
        <x:f>H19*VLOOKUP(F19,'制度参数'!$Q$5:$R$7,2,FALSE)</x:f>
        <x:v>100</x:v>
      </x:c>
      <x:c r="K19" s="39" t="str">
        <x:f>IF(H19=1,"有效质检",IF(OR(D19&lt;'制度参数'!$B$13,D19&gt;'制度参数'!$B$14),"检查日期不在本月","复核未完成"))</x:f>
        <x:v>有效质检</x:v>
      </x:c>
    </x:row>
    <x:row r="20" ht="24" customHeight="1">
      <x:c r="A20" s="9" t="str">
        <x:v>Q103-04</x:v>
      </x:c>
      <x:c r="B20" s="9" t="str">
        <x:v>CS103</x:v>
      </x:c>
      <x:c r="C20" s="9" t="str">
        <x:v>T103-004</x:v>
      </x:c>
      <x:c r="D20" s="13" t="n">
        <x:v>46265</x:v>
      </x:c>
      <x:c r="E20" s="9" t="n">
        <x:v>0</x:v>
      </x:c>
      <x:c r="F20" s="9" t="str">
        <x:v>严重差错</x:v>
      </x:c>
      <x:c r="G20" s="9" t="str">
        <x:v>已复核</x:v>
      </x:c>
      <x:c r="H20" s="40" t="n">
        <x:f>IF(AND(D20&gt;='制度参数'!$B$13,D20&lt;='制度参数'!$B$14,G20="已复核"),1,0)</x:f>
        <x:v>0</x:v>
      </x:c>
      <x:c r="I20" s="9" t="n">
        <x:f>H20*E20</x:f>
        <x:v>0</x:v>
      </x:c>
      <x:c r="J20" s="38" t="n">
        <x:f>H20*VLOOKUP(F20,'制度参数'!$Q$5:$R$7,2,FALSE)</x:f>
        <x:v>0</x:v>
      </x:c>
      <x:c r="K20" s="40" t="str">
        <x:f>IF(H20=1,"有效质检",IF(OR(D20&lt;'制度参数'!$B$13,D20&gt;'制度参数'!$B$14),"检查日期不在本月","复核未完成"))</x:f>
        <x:v>检查日期不在本月</x:v>
      </x:c>
    </x:row>
    <x:row r="21" ht="24" customHeight="1">
      <x:c r="A21" s="1" t="str">
        <x:v>Q103-05</x:v>
      </x:c>
      <x:c r="B21" s="1" t="str">
        <x:v>CS103</x:v>
      </x:c>
      <x:c r="C21" s="1" t="str">
        <x:v>T103-005</x:v>
      </x:c>
      <x:c r="D21" s="12" t="n">
        <x:v>46296</x:v>
      </x:c>
      <x:c r="E21" s="1" t="n">
        <x:v>0</x:v>
      </x:c>
      <x:c r="F21" s="1" t="str">
        <x:v>严重差错</x:v>
      </x:c>
      <x:c r="G21" s="1" t="str">
        <x:v>已复核</x:v>
      </x:c>
      <x:c r="H21" s="39" t="n">
        <x:f>IF(AND(D21&gt;='制度参数'!$B$13,D21&lt;='制度参数'!$B$14,G21="已复核"),1,0)</x:f>
        <x:v>0</x:v>
      </x:c>
      <x:c r="I21" s="1" t="n">
        <x:f>H21*E21</x:f>
        <x:v>0</x:v>
      </x:c>
      <x:c r="J21" s="37" t="n">
        <x:f>H21*VLOOKUP(F21,'制度参数'!$Q$5:$R$7,2,FALSE)</x:f>
        <x:v>0</x:v>
      </x:c>
      <x:c r="K21" s="39" t="str">
        <x:f>IF(H21=1,"有效质检",IF(OR(D21&lt;'制度参数'!$B$13,D21&gt;'制度参数'!$B$14),"检查日期不在本月","复核未完成"))</x:f>
        <x:v>检查日期不在本月</x:v>
      </x:c>
    </x:row>
    <x:row r="22" ht="24" customHeight="1">
      <x:c r="A22" s="9" t="str">
        <x:v>Q103-06</x:v>
      </x:c>
      <x:c r="B22" s="9" t="str">
        <x:v>CS103</x:v>
      </x:c>
      <x:c r="C22" s="9" t="str">
        <x:v>T103-006</x:v>
      </x:c>
      <x:c r="D22" s="13" t="n">
        <x:v>46294</x:v>
      </x:c>
      <x:c r="E22" s="9" t="n">
        <x:v>0</x:v>
      </x:c>
      <x:c r="F22" s="9" t="str">
        <x:v>严重差错</x:v>
      </x:c>
      <x:c r="G22" s="9" t="str">
        <x:v>待复核</x:v>
      </x:c>
      <x:c r="H22" s="40" t="n">
        <x:f>IF(AND(D22&gt;='制度参数'!$B$13,D22&lt;='制度参数'!$B$14,G22="已复核"),1,0)</x:f>
        <x:v>0</x:v>
      </x:c>
      <x:c r="I22" s="9" t="n">
        <x:f>H22*E22</x:f>
        <x:v>0</x:v>
      </x:c>
      <x:c r="J22" s="38" t="n">
        <x:f>H22*VLOOKUP(F22,'制度参数'!$Q$5:$R$7,2,FALSE)</x:f>
        <x:v>0</x:v>
      </x:c>
      <x:c r="K22" s="40" t="str">
        <x:f>IF(H22=1,"有效质检",IF(OR(D22&lt;'制度参数'!$B$13,D22&gt;'制度参数'!$B$14),"检查日期不在本月","复核未完成"))</x:f>
        <x:v>复核未完成</x:v>
      </x:c>
    </x:row>
    <x:row r="23" ht="24" customHeight="1">
      <x:c r="A23" s="1" t="str">
        <x:v>Q104-01</x:v>
      </x:c>
      <x:c r="B23" s="1" t="str">
        <x:v>CS104</x:v>
      </x:c>
      <x:c r="C23" s="1" t="str">
        <x:v>T104-001</x:v>
      </x:c>
      <x:c r="D23" s="12" t="n">
        <x:v>46273</x:v>
      </x:c>
      <x:c r="E23" s="1" t="n">
        <x:v>72</x:v>
      </x:c>
      <x:c r="F23" s="1" t="str">
        <x:v>严重差错</x:v>
      </x:c>
      <x:c r="G23" s="1" t="str">
        <x:v>已复核</x:v>
      </x:c>
      <x:c r="H23" s="39" t="n">
        <x:f>IF(AND(D23&gt;='制度参数'!$B$13,D23&lt;='制度参数'!$B$14,G23="已复核"),1,0)</x:f>
        <x:v>1</x:v>
      </x:c>
      <x:c r="I23" s="1" t="n">
        <x:f>H23*E23</x:f>
        <x:v>72</x:v>
      </x:c>
      <x:c r="J23" s="37" t="n">
        <x:f>H23*VLOOKUP(F23,'制度参数'!$Q$5:$R$7,2,FALSE)</x:f>
        <x:v>100</x:v>
      </x:c>
      <x:c r="K23" s="39" t="str">
        <x:f>IF(H23=1,"有效质检",IF(OR(D23&lt;'制度参数'!$B$13,D23&gt;'制度参数'!$B$14),"检查日期不在本月","复核未完成"))</x:f>
        <x:v>有效质检</x:v>
      </x:c>
    </x:row>
    <x:row r="24" ht="24" customHeight="1">
      <x:c r="A24" s="9" t="str">
        <x:v>Q104-02</x:v>
      </x:c>
      <x:c r="B24" s="9" t="str">
        <x:v>CS104</x:v>
      </x:c>
      <x:c r="C24" s="9" t="str">
        <x:v>T104-002</x:v>
      </x:c>
      <x:c r="D24" s="13" t="n">
        <x:v>46280</x:v>
      </x:c>
      <x:c r="E24" s="9" t="n">
        <x:v>74</x:v>
      </x:c>
      <x:c r="F24" s="9" t="str">
        <x:v>严重差错</x:v>
      </x:c>
      <x:c r="G24" s="9" t="str">
        <x:v>已复核</x:v>
      </x:c>
      <x:c r="H24" s="40" t="n">
        <x:f>IF(AND(D24&gt;='制度参数'!$B$13,D24&lt;='制度参数'!$B$14,G24="已复核"),1,0)</x:f>
        <x:v>1</x:v>
      </x:c>
      <x:c r="I24" s="9" t="n">
        <x:f>H24*E24</x:f>
        <x:v>74</x:v>
      </x:c>
      <x:c r="J24" s="38" t="n">
        <x:f>H24*VLOOKUP(F24,'制度参数'!$Q$5:$R$7,2,FALSE)</x:f>
        <x:v>100</x:v>
      </x:c>
      <x:c r="K24" s="40" t="str">
        <x:f>IF(H24=1,"有效质检",IF(OR(D24&lt;'制度参数'!$B$13,D24&gt;'制度参数'!$B$14),"检查日期不在本月","复核未完成"))</x:f>
        <x:v>有效质检</x:v>
      </x:c>
    </x:row>
    <x:row r="25" ht="24" customHeight="1">
      <x:c r="A25" s="1" t="str">
        <x:v>Q104-03</x:v>
      </x:c>
      <x:c r="B25" s="1" t="str">
        <x:v>CS104</x:v>
      </x:c>
      <x:c r="C25" s="1" t="str">
        <x:v>T104-003</x:v>
      </x:c>
      <x:c r="D25" s="12" t="n">
        <x:v>46287</x:v>
      </x:c>
      <x:c r="E25" s="1" t="n">
        <x:v>76</x:v>
      </x:c>
      <x:c r="F25" s="1" t="str">
        <x:v>严重差错</x:v>
      </x:c>
      <x:c r="G25" s="1" t="str">
        <x:v>已复核</x:v>
      </x:c>
      <x:c r="H25" s="39" t="n">
        <x:f>IF(AND(D25&gt;='制度参数'!$B$13,D25&lt;='制度参数'!$B$14,G25="已复核"),1,0)</x:f>
        <x:v>1</x:v>
      </x:c>
      <x:c r="I25" s="1" t="n">
        <x:f>H25*E25</x:f>
        <x:v>76</x:v>
      </x:c>
      <x:c r="J25" s="37" t="n">
        <x:f>H25*VLOOKUP(F25,'制度参数'!$Q$5:$R$7,2,FALSE)</x:f>
        <x:v>100</x:v>
      </x:c>
      <x:c r="K25" s="39" t="str">
        <x:f>IF(H25=1,"有效质检",IF(OR(D25&lt;'制度参数'!$B$13,D25&gt;'制度参数'!$B$14),"检查日期不在本月","复核未完成"))</x:f>
        <x:v>有效质检</x:v>
      </x:c>
    </x:row>
    <x:row r="26" ht="24" customHeight="1">
      <x:c r="A26" s="9" t="str">
        <x:v>Q104-04</x:v>
      </x:c>
      <x:c r="B26" s="9" t="str">
        <x:v>CS104</x:v>
      </x:c>
      <x:c r="C26" s="9" t="str">
        <x:v>T104-004</x:v>
      </x:c>
      <x:c r="D26" s="13" t="n">
        <x:v>46265</x:v>
      </x:c>
      <x:c r="E26" s="9" t="n">
        <x:v>0</x:v>
      </x:c>
      <x:c r="F26" s="9" t="str">
        <x:v>严重差错</x:v>
      </x:c>
      <x:c r="G26" s="9" t="str">
        <x:v>已复核</x:v>
      </x:c>
      <x:c r="H26" s="40" t="n">
        <x:f>IF(AND(D26&gt;='制度参数'!$B$13,D26&lt;='制度参数'!$B$14,G26="已复核"),1,0)</x:f>
        <x:v>0</x:v>
      </x:c>
      <x:c r="I26" s="9" t="n">
        <x:f>H26*E26</x:f>
        <x:v>0</x:v>
      </x:c>
      <x:c r="J26" s="38" t="n">
        <x:f>H26*VLOOKUP(F26,'制度参数'!$Q$5:$R$7,2,FALSE)</x:f>
        <x:v>0</x:v>
      </x:c>
      <x:c r="K26" s="40" t="str">
        <x:f>IF(H26=1,"有效质检",IF(OR(D26&lt;'制度参数'!$B$13,D26&gt;'制度参数'!$B$14),"检查日期不在本月","复核未完成"))</x:f>
        <x:v>检查日期不在本月</x:v>
      </x:c>
    </x:row>
    <x:row r="27" ht="24" customHeight="1">
      <x:c r="A27" s="1" t="str">
        <x:v>Q104-05</x:v>
      </x:c>
      <x:c r="B27" s="1" t="str">
        <x:v>CS104</x:v>
      </x:c>
      <x:c r="C27" s="1" t="str">
        <x:v>T104-005</x:v>
      </x:c>
      <x:c r="D27" s="12" t="n">
        <x:v>46296</x:v>
      </x:c>
      <x:c r="E27" s="1" t="n">
        <x:v>0</x:v>
      </x:c>
      <x:c r="F27" s="1" t="str">
        <x:v>严重差错</x:v>
      </x:c>
      <x:c r="G27" s="1" t="str">
        <x:v>已复核</x:v>
      </x:c>
      <x:c r="H27" s="39" t="n">
        <x:f>IF(AND(D27&gt;='制度参数'!$B$13,D27&lt;='制度参数'!$B$14,G27="已复核"),1,0)</x:f>
        <x:v>0</x:v>
      </x:c>
      <x:c r="I27" s="1" t="n">
        <x:f>H27*E27</x:f>
        <x:v>0</x:v>
      </x:c>
      <x:c r="J27" s="37" t="n">
        <x:f>H27*VLOOKUP(F27,'制度参数'!$Q$5:$R$7,2,FALSE)</x:f>
        <x:v>0</x:v>
      </x:c>
      <x:c r="K27" s="39" t="str">
        <x:f>IF(H27=1,"有效质检",IF(OR(D27&lt;'制度参数'!$B$13,D27&gt;'制度参数'!$B$14),"检查日期不在本月","复核未完成"))</x:f>
        <x:v>检查日期不在本月</x:v>
      </x:c>
    </x:row>
    <x:row r="28" ht="24" customHeight="1">
      <x:c r="A28" s="9" t="str">
        <x:v>Q104-06</x:v>
      </x:c>
      <x:c r="B28" s="9" t="str">
        <x:v>CS104</x:v>
      </x:c>
      <x:c r="C28" s="9" t="str">
        <x:v>T104-006</x:v>
      </x:c>
      <x:c r="D28" s="13" t="n">
        <x:v>46294</x:v>
      </x:c>
      <x:c r="E28" s="9" t="n">
        <x:v>0</x:v>
      </x:c>
      <x:c r="F28" s="9" t="str">
        <x:v>严重差错</x:v>
      </x:c>
      <x:c r="G28" s="9" t="str">
        <x:v>待复核</x:v>
      </x:c>
      <x:c r="H28" s="40" t="n">
        <x:f>IF(AND(D28&gt;='制度参数'!$B$13,D28&lt;='制度参数'!$B$14,G28="已复核"),1,0)</x:f>
        <x:v>0</x:v>
      </x:c>
      <x:c r="I28" s="9" t="n">
        <x:f>H28*E28</x:f>
        <x:v>0</x:v>
      </x:c>
      <x:c r="J28" s="38" t="n">
        <x:f>H28*VLOOKUP(F28,'制度参数'!$Q$5:$R$7,2,FALSE)</x:f>
        <x:v>0</x:v>
      </x:c>
      <x:c r="K28" s="40" t="str">
        <x:f>IF(H28=1,"有效质检",IF(OR(D28&lt;'制度参数'!$B$13,D28&gt;'制度参数'!$B$14),"检查日期不在本月","复核未完成"))</x:f>
        <x:v>复核未完成</x:v>
      </x:c>
    </x:row>
    <x:row r="29" ht="24" customHeight="1">
      <x:c r="A29" s="1" t="str">
        <x:v>Q105-01</x:v>
      </x:c>
      <x:c r="B29" s="1" t="str">
        <x:v>CS105</x:v>
      </x:c>
      <x:c r="C29" s="1" t="str">
        <x:v>T105-001</x:v>
      </x:c>
      <x:c r="D29" s="12" t="n">
        <x:v>46273</x:v>
      </x:c>
      <x:c r="E29" s="1" t="n">
        <x:v>94</x:v>
      </x:c>
      <x:c r="F29" s="1" t="str">
        <x:v>一般差错</x:v>
      </x:c>
      <x:c r="G29" s="1" t="str">
        <x:v>已复核</x:v>
      </x:c>
      <x:c r="H29" s="39" t="n">
        <x:f>IF(AND(D29&gt;='制度参数'!$B$13,D29&lt;='制度参数'!$B$14,G29="已复核"),1,0)</x:f>
        <x:v>1</x:v>
      </x:c>
      <x:c r="I29" s="1" t="n">
        <x:f>H29*E29</x:f>
        <x:v>94</x:v>
      </x:c>
      <x:c r="J29" s="37" t="n">
        <x:f>H29*VLOOKUP(F29,'制度参数'!$Q$5:$R$7,2,FALSE)</x:f>
        <x:v>20</x:v>
      </x:c>
      <x:c r="K29" s="39" t="str">
        <x:f>IF(H29=1,"有效质检",IF(OR(D29&lt;'制度参数'!$B$13,D29&gt;'制度参数'!$B$14),"检查日期不在本月","复核未完成"))</x:f>
        <x:v>有效质检</x:v>
      </x:c>
    </x:row>
    <x:row r="30" ht="24" customHeight="1">
      <x:c r="A30" s="9" t="str">
        <x:v>Q105-02</x:v>
      </x:c>
      <x:c r="B30" s="9" t="str">
        <x:v>CS105</x:v>
      </x:c>
      <x:c r="C30" s="9" t="str">
        <x:v>T105-002</x:v>
      </x:c>
      <x:c r="D30" s="13" t="n">
        <x:v>46280</x:v>
      </x:c>
      <x:c r="E30" s="9" t="n">
        <x:v>95</x:v>
      </x:c>
      <x:c r="F30" s="9" t="str">
        <x:v>一般差错</x:v>
      </x:c>
      <x:c r="G30" s="9" t="str">
        <x:v>已复核</x:v>
      </x:c>
      <x:c r="H30" s="40" t="n">
        <x:f>IF(AND(D30&gt;='制度参数'!$B$13,D30&lt;='制度参数'!$B$14,G30="已复核"),1,0)</x:f>
        <x:v>1</x:v>
      </x:c>
      <x:c r="I30" s="9" t="n">
        <x:f>H30*E30</x:f>
        <x:v>95</x:v>
      </x:c>
      <x:c r="J30" s="38" t="n">
        <x:f>H30*VLOOKUP(F30,'制度参数'!$Q$5:$R$7,2,FALSE)</x:f>
        <x:v>20</x:v>
      </x:c>
      <x:c r="K30" s="40" t="str">
        <x:f>IF(H30=1,"有效质检",IF(OR(D30&lt;'制度参数'!$B$13,D30&gt;'制度参数'!$B$14),"检查日期不在本月","复核未完成"))</x:f>
        <x:v>有效质检</x:v>
      </x:c>
    </x:row>
    <x:row r="31" ht="24" customHeight="1">
      <x:c r="A31" s="1" t="str">
        <x:v>Q105-03</x:v>
      </x:c>
      <x:c r="B31" s="1" t="str">
        <x:v>CS105</x:v>
      </x:c>
      <x:c r="C31" s="1" t="str">
        <x:v>T105-003</x:v>
      </x:c>
      <x:c r="D31" s="12" t="n">
        <x:v>46287</x:v>
      </x:c>
      <x:c r="E31" s="1" t="n">
        <x:v>95</x:v>
      </x:c>
      <x:c r="F31" s="1" t="str">
        <x:v>无差错</x:v>
      </x:c>
      <x:c r="G31" s="1" t="str">
        <x:v>已复核</x:v>
      </x:c>
      <x:c r="H31" s="39" t="n">
        <x:f>IF(AND(D31&gt;='制度参数'!$B$13,D31&lt;='制度参数'!$B$14,G31="已复核"),1,0)</x:f>
        <x:v>1</x:v>
      </x:c>
      <x:c r="I31" s="1" t="n">
        <x:f>H31*E31</x:f>
        <x:v>95</x:v>
      </x:c>
      <x:c r="J31" s="37" t="n">
        <x:f>H31*VLOOKUP(F31,'制度参数'!$Q$5:$R$7,2,FALSE)</x:f>
        <x:v>0</x:v>
      </x:c>
      <x:c r="K31" s="39" t="str">
        <x:f>IF(H31=1,"有效质检",IF(OR(D31&lt;'制度参数'!$B$13,D31&gt;'制度参数'!$B$14),"检查日期不在本月","复核未完成"))</x:f>
        <x:v>有效质检</x:v>
      </x:c>
    </x:row>
    <x:row r="32" ht="24" customHeight="1">
      <x:c r="A32" s="9" t="str">
        <x:v>Q105-04</x:v>
      </x:c>
      <x:c r="B32" s="9" t="str">
        <x:v>CS105</x:v>
      </x:c>
      <x:c r="C32" s="9" t="str">
        <x:v>T105-004</x:v>
      </x:c>
      <x:c r="D32" s="13" t="n">
        <x:v>46265</x:v>
      </x:c>
      <x:c r="E32" s="9" t="n">
        <x:v>0</x:v>
      </x:c>
      <x:c r="F32" s="9" t="str">
        <x:v>严重差错</x:v>
      </x:c>
      <x:c r="G32" s="9" t="str">
        <x:v>已复核</x:v>
      </x:c>
      <x:c r="H32" s="40" t="n">
        <x:f>IF(AND(D32&gt;='制度参数'!$B$13,D32&lt;='制度参数'!$B$14,G32="已复核"),1,0)</x:f>
        <x:v>0</x:v>
      </x:c>
      <x:c r="I32" s="9" t="n">
        <x:f>H32*E32</x:f>
        <x:v>0</x:v>
      </x:c>
      <x:c r="J32" s="38" t="n">
        <x:f>H32*VLOOKUP(F32,'制度参数'!$Q$5:$R$7,2,FALSE)</x:f>
        <x:v>0</x:v>
      </x:c>
      <x:c r="K32" s="40" t="str">
        <x:f>IF(H32=1,"有效质检",IF(OR(D32&lt;'制度参数'!$B$13,D32&gt;'制度参数'!$B$14),"检查日期不在本月","复核未完成"))</x:f>
        <x:v>检查日期不在本月</x:v>
      </x:c>
    </x:row>
    <x:row r="33" ht="24" customHeight="1">
      <x:c r="A33" s="1" t="str">
        <x:v>Q105-05</x:v>
      </x:c>
      <x:c r="B33" s="1" t="str">
        <x:v>CS105</x:v>
      </x:c>
      <x:c r="C33" s="1" t="str">
        <x:v>T105-005</x:v>
      </x:c>
      <x:c r="D33" s="12" t="n">
        <x:v>46296</x:v>
      </x:c>
      <x:c r="E33" s="1" t="n">
        <x:v>0</x:v>
      </x:c>
      <x:c r="F33" s="1" t="str">
        <x:v>严重差错</x:v>
      </x:c>
      <x:c r="G33" s="1" t="str">
        <x:v>已复核</x:v>
      </x:c>
      <x:c r="H33" s="39" t="n">
        <x:f>IF(AND(D33&gt;='制度参数'!$B$13,D33&lt;='制度参数'!$B$14,G33="已复核"),1,0)</x:f>
        <x:v>0</x:v>
      </x:c>
      <x:c r="I33" s="1" t="n">
        <x:f>H33*E33</x:f>
        <x:v>0</x:v>
      </x:c>
      <x:c r="J33" s="37" t="n">
        <x:f>H33*VLOOKUP(F33,'制度参数'!$Q$5:$R$7,2,FALSE)</x:f>
        <x:v>0</x:v>
      </x:c>
      <x:c r="K33" s="39" t="str">
        <x:f>IF(H33=1,"有效质检",IF(OR(D33&lt;'制度参数'!$B$13,D33&gt;'制度参数'!$B$14),"检查日期不在本月","复核未完成"))</x:f>
        <x:v>检查日期不在本月</x:v>
      </x:c>
    </x:row>
    <x:row r="34" ht="24" customHeight="1">
      <x:c r="A34" s="9" t="str">
        <x:v>Q105-06</x:v>
      </x:c>
      <x:c r="B34" s="9" t="str">
        <x:v>CS105</x:v>
      </x:c>
      <x:c r="C34" s="9" t="str">
        <x:v>T105-006</x:v>
      </x:c>
      <x:c r="D34" s="13" t="n">
        <x:v>46294</x:v>
      </x:c>
      <x:c r="E34" s="9" t="n">
        <x:v>0</x:v>
      </x:c>
      <x:c r="F34" s="9" t="str">
        <x:v>严重差错</x:v>
      </x:c>
      <x:c r="G34" s="9" t="str">
        <x:v>待复核</x:v>
      </x:c>
      <x:c r="H34" s="40" t="n">
        <x:f>IF(AND(D34&gt;='制度参数'!$B$13,D34&lt;='制度参数'!$B$14,G34="已复核"),1,0)</x:f>
        <x:v>0</x:v>
      </x:c>
      <x:c r="I34" s="9" t="n">
        <x:f>H34*E34</x:f>
        <x:v>0</x:v>
      </x:c>
      <x:c r="J34" s="38" t="n">
        <x:f>H34*VLOOKUP(F34,'制度参数'!$Q$5:$R$7,2,FALSE)</x:f>
        <x:v>0</x:v>
      </x:c>
      <x:c r="K34" s="40" t="str">
        <x:f>IF(H34=1,"有效质检",IF(OR(D34&lt;'制度参数'!$B$13,D34&gt;'制度参数'!$B$14),"检查日期不在本月","复核未完成"))</x:f>
        <x:v>复核未完成</x:v>
      </x:c>
    </x:row>
    <x:row r="35" ht="24" customHeight="1">
      <x:c r="A35" s="1" t="str">
        <x:v>Q106-01</x:v>
      </x:c>
      <x:c r="B35" s="1" t="str">
        <x:v>CS106</x:v>
      </x:c>
      <x:c r="C35" s="1" t="str">
        <x:v>T106-001</x:v>
      </x:c>
      <x:c r="D35" s="12" t="n">
        <x:v>46273</x:v>
      </x:c>
      <x:c r="E35" s="1" t="n">
        <x:v>96</x:v>
      </x:c>
      <x:c r="F35" s="1" t="str">
        <x:v>无差错</x:v>
      </x:c>
      <x:c r="G35" s="1" t="str">
        <x:v>已复核</x:v>
      </x:c>
      <x:c r="H35" s="39" t="n">
        <x:f>IF(AND(D35&gt;='制度参数'!$B$13,D35&lt;='制度参数'!$B$14,G35="已复核"),1,0)</x:f>
        <x:v>1</x:v>
      </x:c>
      <x:c r="I35" s="1" t="n">
        <x:f>H35*E35</x:f>
        <x:v>96</x:v>
      </x:c>
      <x:c r="J35" s="37" t="n">
        <x:f>H35*VLOOKUP(F35,'制度参数'!$Q$5:$R$7,2,FALSE)</x:f>
        <x:v>0</x:v>
      </x:c>
      <x:c r="K35" s="39" t="str">
        <x:f>IF(H35=1,"有效质检",IF(OR(D35&lt;'制度参数'!$B$13,D35&gt;'制度参数'!$B$14),"检查日期不在本月","复核未完成"))</x:f>
        <x:v>有效质检</x:v>
      </x:c>
    </x:row>
    <x:row r="36" ht="24" customHeight="1">
      <x:c r="A36" s="9" t="str">
        <x:v>Q106-02</x:v>
      </x:c>
      <x:c r="B36" s="9" t="str">
        <x:v>CS106</x:v>
      </x:c>
      <x:c r="C36" s="9" t="str">
        <x:v>T106-002</x:v>
      </x:c>
      <x:c r="D36" s="13" t="n">
        <x:v>46280</x:v>
      </x:c>
      <x:c r="E36" s="9" t="n">
        <x:v>97</x:v>
      </x:c>
      <x:c r="F36" s="9" t="str">
        <x:v>无差错</x:v>
      </x:c>
      <x:c r="G36" s="9" t="str">
        <x:v>已复核</x:v>
      </x:c>
      <x:c r="H36" s="40" t="n">
        <x:f>IF(AND(D36&gt;='制度参数'!$B$13,D36&lt;='制度参数'!$B$14,G36="已复核"),1,0)</x:f>
        <x:v>1</x:v>
      </x:c>
      <x:c r="I36" s="9" t="n">
        <x:f>H36*E36</x:f>
        <x:v>97</x:v>
      </x:c>
      <x:c r="J36" s="38" t="n">
        <x:f>H36*VLOOKUP(F36,'制度参数'!$Q$5:$R$7,2,FALSE)</x:f>
        <x:v>0</x:v>
      </x:c>
      <x:c r="K36" s="40" t="str">
        <x:f>IF(H36=1,"有效质检",IF(OR(D36&lt;'制度参数'!$B$13,D36&gt;'制度参数'!$B$14),"检查日期不在本月","复核未完成"))</x:f>
        <x:v>有效质检</x:v>
      </x:c>
    </x:row>
    <x:row r="37" ht="24" customHeight="1">
      <x:c r="A37" s="1" t="str">
        <x:v>Q106-03</x:v>
      </x:c>
      <x:c r="B37" s="1" t="str">
        <x:v>CS106</x:v>
      </x:c>
      <x:c r="C37" s="1" t="str">
        <x:v>T106-003</x:v>
      </x:c>
      <x:c r="D37" s="12" t="n">
        <x:v>46287</x:v>
      </x:c>
      <x:c r="E37" s="1" t="n">
        <x:v>98</x:v>
      </x:c>
      <x:c r="F37" s="1" t="str">
        <x:v>无差错</x:v>
      </x:c>
      <x:c r="G37" s="1" t="str">
        <x:v>已复核</x:v>
      </x:c>
      <x:c r="H37" s="39" t="n">
        <x:f>IF(AND(D37&gt;='制度参数'!$B$13,D37&lt;='制度参数'!$B$14,G37="已复核"),1,0)</x:f>
        <x:v>1</x:v>
      </x:c>
      <x:c r="I37" s="1" t="n">
        <x:f>H37*E37</x:f>
        <x:v>98</x:v>
      </x:c>
      <x:c r="J37" s="37" t="n">
        <x:f>H37*VLOOKUP(F37,'制度参数'!$Q$5:$R$7,2,FALSE)</x:f>
        <x:v>0</x:v>
      </x:c>
      <x:c r="K37" s="39" t="str">
        <x:f>IF(H37=1,"有效质检",IF(OR(D37&lt;'制度参数'!$B$13,D37&gt;'制度参数'!$B$14),"检查日期不在本月","复核未完成"))</x:f>
        <x:v>有效质检</x:v>
      </x:c>
    </x:row>
    <x:row r="38" ht="24" customHeight="1">
      <x:c r="A38" s="9" t="str">
        <x:v>Q106-04</x:v>
      </x:c>
      <x:c r="B38" s="9" t="str">
        <x:v>CS106</x:v>
      </x:c>
      <x:c r="C38" s="9" t="str">
        <x:v>T106-004</x:v>
      </x:c>
      <x:c r="D38" s="13" t="n">
        <x:v>46265</x:v>
      </x:c>
      <x:c r="E38" s="9" t="n">
        <x:v>0</x:v>
      </x:c>
      <x:c r="F38" s="9" t="str">
        <x:v>严重差错</x:v>
      </x:c>
      <x:c r="G38" s="9" t="str">
        <x:v>已复核</x:v>
      </x:c>
      <x:c r="H38" s="40" t="n">
        <x:f>IF(AND(D38&gt;='制度参数'!$B$13,D38&lt;='制度参数'!$B$14,G38="已复核"),1,0)</x:f>
        <x:v>0</x:v>
      </x:c>
      <x:c r="I38" s="9" t="n">
        <x:f>H38*E38</x:f>
        <x:v>0</x:v>
      </x:c>
      <x:c r="J38" s="38" t="n">
        <x:f>H38*VLOOKUP(F38,'制度参数'!$Q$5:$R$7,2,FALSE)</x:f>
        <x:v>0</x:v>
      </x:c>
      <x:c r="K38" s="40" t="str">
        <x:f>IF(H38=1,"有效质检",IF(OR(D38&lt;'制度参数'!$B$13,D38&gt;'制度参数'!$B$14),"检查日期不在本月","复核未完成"))</x:f>
        <x:v>检查日期不在本月</x:v>
      </x:c>
    </x:row>
    <x:row r="39" ht="24" customHeight="1">
      <x:c r="A39" s="1" t="str">
        <x:v>Q106-05</x:v>
      </x:c>
      <x:c r="B39" s="1" t="str">
        <x:v>CS106</x:v>
      </x:c>
      <x:c r="C39" s="1" t="str">
        <x:v>T106-005</x:v>
      </x:c>
      <x:c r="D39" s="12" t="n">
        <x:v>46296</x:v>
      </x:c>
      <x:c r="E39" s="1" t="n">
        <x:v>0</x:v>
      </x:c>
      <x:c r="F39" s="1" t="str">
        <x:v>严重差错</x:v>
      </x:c>
      <x:c r="G39" s="1" t="str">
        <x:v>已复核</x:v>
      </x:c>
      <x:c r="H39" s="39" t="n">
        <x:f>IF(AND(D39&gt;='制度参数'!$B$13,D39&lt;='制度参数'!$B$14,G39="已复核"),1,0)</x:f>
        <x:v>0</x:v>
      </x:c>
      <x:c r="I39" s="1" t="n">
        <x:f>H39*E39</x:f>
        <x:v>0</x:v>
      </x:c>
      <x:c r="J39" s="37" t="n">
        <x:f>H39*VLOOKUP(F39,'制度参数'!$Q$5:$R$7,2,FALSE)</x:f>
        <x:v>0</x:v>
      </x:c>
      <x:c r="K39" s="39" t="str">
        <x:f>IF(H39=1,"有效质检",IF(OR(D39&lt;'制度参数'!$B$13,D39&gt;'制度参数'!$B$14),"检查日期不在本月","复核未完成"))</x:f>
        <x:v>检查日期不在本月</x:v>
      </x:c>
    </x:row>
    <x:row r="40" ht="24" customHeight="1">
      <x:c r="A40" s="9" t="str">
        <x:v>Q106-06</x:v>
      </x:c>
      <x:c r="B40" s="9" t="str">
        <x:v>CS106</x:v>
      </x:c>
      <x:c r="C40" s="9" t="str">
        <x:v>T106-006</x:v>
      </x:c>
      <x:c r="D40" s="13" t="n">
        <x:v>46294</x:v>
      </x:c>
      <x:c r="E40" s="9" t="n">
        <x:v>0</x:v>
      </x:c>
      <x:c r="F40" s="9" t="str">
        <x:v>严重差错</x:v>
      </x:c>
      <x:c r="G40" s="9" t="str">
        <x:v>待复核</x:v>
      </x:c>
      <x:c r="H40" s="40" t="n">
        <x:f>IF(AND(D40&gt;='制度参数'!$B$13,D40&lt;='制度参数'!$B$14,G40="已复核"),1,0)</x:f>
        <x:v>0</x:v>
      </x:c>
      <x:c r="I40" s="9" t="n">
        <x:f>H40*E40</x:f>
        <x:v>0</x:v>
      </x:c>
      <x:c r="J40" s="38" t="n">
        <x:f>H40*VLOOKUP(F40,'制度参数'!$Q$5:$R$7,2,FALSE)</x:f>
        <x:v>0</x:v>
      </x:c>
      <x:c r="K40" s="40" t="str">
        <x:f>IF(H40=1,"有效质检",IF(OR(D40&lt;'制度参数'!$B$13,D40&gt;'制度参数'!$B$14),"检查日期不在本月","复核未完成"))</x:f>
        <x:v>复核未完成</x:v>
      </x:c>
    </x:row>
    <x:row r="41" ht="24" customHeight="1">
      <x:c r="A41" s="1" t="str">
        <x:v>Q107-01</x:v>
      </x:c>
      <x:c r="B41" s="1" t="str">
        <x:v>CS107</x:v>
      </x:c>
      <x:c r="C41" s="1" t="str">
        <x:v>T107-001</x:v>
      </x:c>
      <x:c r="D41" s="12" t="n">
        <x:v>46273</x:v>
      </x:c>
      <x:c r="E41" s="1" t="n">
        <x:v>99</x:v>
      </x:c>
      <x:c r="F41" s="1" t="str">
        <x:v>无差错</x:v>
      </x:c>
      <x:c r="G41" s="1" t="str">
        <x:v>已复核</x:v>
      </x:c>
      <x:c r="H41" s="39" t="n">
        <x:f>IF(AND(D41&gt;='制度参数'!$B$13,D41&lt;='制度参数'!$B$14,G41="已复核"),1,0)</x:f>
        <x:v>1</x:v>
      </x:c>
      <x:c r="I41" s="1" t="n">
        <x:f>H41*E41</x:f>
        <x:v>99</x:v>
      </x:c>
      <x:c r="J41" s="37" t="n">
        <x:f>H41*VLOOKUP(F41,'制度参数'!$Q$5:$R$7,2,FALSE)</x:f>
        <x:v>0</x:v>
      </x:c>
      <x:c r="K41" s="39" t="str">
        <x:f>IF(H41=1,"有效质检",IF(OR(D41&lt;'制度参数'!$B$13,D41&gt;'制度参数'!$B$14),"检查日期不在本月","复核未完成"))</x:f>
        <x:v>有效质检</x:v>
      </x:c>
    </x:row>
    <x:row r="42" ht="24" customHeight="1">
      <x:c r="A42" s="9" t="str">
        <x:v>Q107-02</x:v>
      </x:c>
      <x:c r="B42" s="9" t="str">
        <x:v>CS107</x:v>
      </x:c>
      <x:c r="C42" s="9" t="str">
        <x:v>T107-002</x:v>
      </x:c>
      <x:c r="D42" s="13" t="n">
        <x:v>46280</x:v>
      </x:c>
      <x:c r="E42" s="9" t="n">
        <x:v>96</x:v>
      </x:c>
      <x:c r="F42" s="9" t="str">
        <x:v>无差错</x:v>
      </x:c>
      <x:c r="G42" s="9" t="str">
        <x:v>已复核</x:v>
      </x:c>
      <x:c r="H42" s="40" t="n">
        <x:f>IF(AND(D42&gt;='制度参数'!$B$13,D42&lt;='制度参数'!$B$14,G42="已复核"),1,0)</x:f>
        <x:v>1</x:v>
      </x:c>
      <x:c r="I42" s="9" t="n">
        <x:f>H42*E42</x:f>
        <x:v>96</x:v>
      </x:c>
      <x:c r="J42" s="38" t="n">
        <x:f>H42*VLOOKUP(F42,'制度参数'!$Q$5:$R$7,2,FALSE)</x:f>
        <x:v>0</x:v>
      </x:c>
      <x:c r="K42" s="40" t="str">
        <x:f>IF(H42=1,"有效质检",IF(OR(D42&lt;'制度参数'!$B$13,D42&gt;'制度参数'!$B$14),"检查日期不在本月","复核未完成"))</x:f>
        <x:v>有效质检</x:v>
      </x:c>
    </x:row>
    <x:row r="43" ht="24" customHeight="1">
      <x:c r="A43" s="1" t="str">
        <x:v>Q107-03</x:v>
      </x:c>
      <x:c r="B43" s="1" t="str">
        <x:v>CS107</x:v>
      </x:c>
      <x:c r="C43" s="1" t="str">
        <x:v>T107-003</x:v>
      </x:c>
      <x:c r="D43" s="12" t="n">
        <x:v>46287</x:v>
      </x:c>
      <x:c r="E43" s="1" t="n">
        <x:v>93</x:v>
      </x:c>
      <x:c r="F43" s="1" t="str">
        <x:v>无差错</x:v>
      </x:c>
      <x:c r="G43" s="1" t="str">
        <x:v>已复核</x:v>
      </x:c>
      <x:c r="H43" s="39" t="n">
        <x:f>IF(AND(D43&gt;='制度参数'!$B$13,D43&lt;='制度参数'!$B$14,G43="已复核"),1,0)</x:f>
        <x:v>1</x:v>
      </x:c>
      <x:c r="I43" s="1" t="n">
        <x:f>H43*E43</x:f>
        <x:v>93</x:v>
      </x:c>
      <x:c r="J43" s="37" t="n">
        <x:f>H43*VLOOKUP(F43,'制度参数'!$Q$5:$R$7,2,FALSE)</x:f>
        <x:v>0</x:v>
      </x:c>
      <x:c r="K43" s="39" t="str">
        <x:f>IF(H43=1,"有效质检",IF(OR(D43&lt;'制度参数'!$B$13,D43&gt;'制度参数'!$B$14),"检查日期不在本月","复核未完成"))</x:f>
        <x:v>有效质检</x:v>
      </x:c>
    </x:row>
    <x:row r="44" ht="24" customHeight="1">
      <x:c r="A44" s="9" t="str">
        <x:v>Q107-04</x:v>
      </x:c>
      <x:c r="B44" s="9" t="str">
        <x:v>CS107</x:v>
      </x:c>
      <x:c r="C44" s="9" t="str">
        <x:v>T107-004</x:v>
      </x:c>
      <x:c r="D44" s="13" t="n">
        <x:v>46265</x:v>
      </x:c>
      <x:c r="E44" s="9" t="n">
        <x:v>0</x:v>
      </x:c>
      <x:c r="F44" s="9" t="str">
        <x:v>严重差错</x:v>
      </x:c>
      <x:c r="G44" s="9" t="str">
        <x:v>已复核</x:v>
      </x:c>
      <x:c r="H44" s="40" t="n">
        <x:f>IF(AND(D44&gt;='制度参数'!$B$13,D44&lt;='制度参数'!$B$14,G44="已复核"),1,0)</x:f>
        <x:v>0</x:v>
      </x:c>
      <x:c r="I44" s="9" t="n">
        <x:f>H44*E44</x:f>
        <x:v>0</x:v>
      </x:c>
      <x:c r="J44" s="38" t="n">
        <x:f>H44*VLOOKUP(F44,'制度参数'!$Q$5:$R$7,2,FALSE)</x:f>
        <x:v>0</x:v>
      </x:c>
      <x:c r="K44" s="40" t="str">
        <x:f>IF(H44=1,"有效质检",IF(OR(D44&lt;'制度参数'!$B$13,D44&gt;'制度参数'!$B$14),"检查日期不在本月","复核未完成"))</x:f>
        <x:v>检查日期不在本月</x:v>
      </x:c>
    </x:row>
    <x:row r="45" ht="24" customHeight="1">
      <x:c r="A45" s="1" t="str">
        <x:v>Q107-05</x:v>
      </x:c>
      <x:c r="B45" s="1" t="str">
        <x:v>CS107</x:v>
      </x:c>
      <x:c r="C45" s="1" t="str">
        <x:v>T107-005</x:v>
      </x:c>
      <x:c r="D45" s="12" t="n">
        <x:v>46296</x:v>
      </x:c>
      <x:c r="E45" s="1" t="n">
        <x:v>0</x:v>
      </x:c>
      <x:c r="F45" s="1" t="str">
        <x:v>严重差错</x:v>
      </x:c>
      <x:c r="G45" s="1" t="str">
        <x:v>已复核</x:v>
      </x:c>
      <x:c r="H45" s="39" t="n">
        <x:f>IF(AND(D45&gt;='制度参数'!$B$13,D45&lt;='制度参数'!$B$14,G45="已复核"),1,0)</x:f>
        <x:v>0</x:v>
      </x:c>
      <x:c r="I45" s="1" t="n">
        <x:f>H45*E45</x:f>
        <x:v>0</x:v>
      </x:c>
      <x:c r="J45" s="37" t="n">
        <x:f>H45*VLOOKUP(F45,'制度参数'!$Q$5:$R$7,2,FALSE)</x:f>
        <x:v>0</x:v>
      </x:c>
      <x:c r="K45" s="39" t="str">
        <x:f>IF(H45=1,"有效质检",IF(OR(D45&lt;'制度参数'!$B$13,D45&gt;'制度参数'!$B$14),"检查日期不在本月","复核未完成"))</x:f>
        <x:v>检查日期不在本月</x:v>
      </x:c>
    </x:row>
    <x:row r="46" ht="24" customHeight="1">
      <x:c r="A46" s="9" t="str">
        <x:v>Q107-06</x:v>
      </x:c>
      <x:c r="B46" s="9" t="str">
        <x:v>CS107</x:v>
      </x:c>
      <x:c r="C46" s="9" t="str">
        <x:v>T107-006</x:v>
      </x:c>
      <x:c r="D46" s="13" t="n">
        <x:v>46294</x:v>
      </x:c>
      <x:c r="E46" s="9" t="n">
        <x:v>0</x:v>
      </x:c>
      <x:c r="F46" s="9" t="str">
        <x:v>严重差错</x:v>
      </x:c>
      <x:c r="G46" s="9" t="str">
        <x:v>待复核</x:v>
      </x:c>
      <x:c r="H46" s="40" t="n">
        <x:f>IF(AND(D46&gt;='制度参数'!$B$13,D46&lt;='制度参数'!$B$14,G46="已复核"),1,0)</x:f>
        <x:v>0</x:v>
      </x:c>
      <x:c r="I46" s="9" t="n">
        <x:f>H46*E46</x:f>
        <x:v>0</x:v>
      </x:c>
      <x:c r="J46" s="38" t="n">
        <x:f>H46*VLOOKUP(F46,'制度参数'!$Q$5:$R$7,2,FALSE)</x:f>
        <x:v>0</x:v>
      </x:c>
      <x:c r="K46" s="40" t="str">
        <x:f>IF(H46=1,"有效质检",IF(OR(D46&lt;'制度参数'!$B$13,D46&gt;'制度参数'!$B$14),"检查日期不在本月","复核未完成"))</x:f>
        <x:v>复核未完成</x:v>
      </x:c>
    </x:row>
    <x:row r="47" ht="24" customHeight="1">
      <x:c r="A47" s="1" t="str">
        <x:v>Q108-01</x:v>
      </x:c>
      <x:c r="B47" s="1" t="str">
        <x:v>CS108</x:v>
      </x:c>
      <x:c r="C47" s="1" t="str">
        <x:v>T108-001</x:v>
      </x:c>
      <x:c r="D47" s="12" t="n">
        <x:v>46273</x:v>
      </x:c>
      <x:c r="E47" s="1" t="n">
        <x:v>84</x:v>
      </x:c>
      <x:c r="F47" s="1" t="str">
        <x:v>一般差错</x:v>
      </x:c>
      <x:c r="G47" s="1" t="str">
        <x:v>已复核</x:v>
      </x:c>
      <x:c r="H47" s="39" t="n">
        <x:f>IF(AND(D47&gt;='制度参数'!$B$13,D47&lt;='制度参数'!$B$14,G47="已复核"),1,0)</x:f>
        <x:v>1</x:v>
      </x:c>
      <x:c r="I47" s="1" t="n">
        <x:f>H47*E47</x:f>
        <x:v>84</x:v>
      </x:c>
      <x:c r="J47" s="37" t="n">
        <x:f>H47*VLOOKUP(F47,'制度参数'!$Q$5:$R$7,2,FALSE)</x:f>
        <x:v>20</x:v>
      </x:c>
      <x:c r="K47" s="39" t="str">
        <x:f>IF(H47=1,"有效质检",IF(OR(D47&lt;'制度参数'!$B$13,D47&gt;'制度参数'!$B$14),"检查日期不在本月","复核未完成"))</x:f>
        <x:v>有效质检</x:v>
      </x:c>
    </x:row>
    <x:row r="48" ht="24" customHeight="1">
      <x:c r="A48" s="9" t="str">
        <x:v>Q108-02</x:v>
      </x:c>
      <x:c r="B48" s="9" t="str">
        <x:v>CS108</x:v>
      </x:c>
      <x:c r="C48" s="9" t="str">
        <x:v>T108-002</x:v>
      </x:c>
      <x:c r="D48" s="13" t="n">
        <x:v>46280</x:v>
      </x:c>
      <x:c r="E48" s="9" t="n">
        <x:v>85</x:v>
      </x:c>
      <x:c r="F48" s="9" t="str">
        <x:v>无差错</x:v>
      </x:c>
      <x:c r="G48" s="9" t="str">
        <x:v>已复核</x:v>
      </x:c>
      <x:c r="H48" s="40" t="n">
        <x:f>IF(AND(D48&gt;='制度参数'!$B$13,D48&lt;='制度参数'!$B$14,G48="已复核"),1,0)</x:f>
        <x:v>1</x:v>
      </x:c>
      <x:c r="I48" s="9" t="n">
        <x:f>H48*E48</x:f>
        <x:v>85</x:v>
      </x:c>
      <x:c r="J48" s="38" t="n">
        <x:f>H48*VLOOKUP(F48,'制度参数'!$Q$5:$R$7,2,FALSE)</x:f>
        <x:v>0</x:v>
      </x:c>
      <x:c r="K48" s="40" t="str">
        <x:f>IF(H48=1,"有效质检",IF(OR(D48&lt;'制度参数'!$B$13,D48&gt;'制度参数'!$B$14),"检查日期不在本月","复核未完成"))</x:f>
        <x:v>有效质检</x:v>
      </x:c>
    </x:row>
    <x:row r="49" ht="24" customHeight="1">
      <x:c r="A49" s="1" t="str">
        <x:v>Q108-03</x:v>
      </x:c>
      <x:c r="B49" s="1" t="str">
        <x:v>CS108</x:v>
      </x:c>
      <x:c r="C49" s="1" t="str">
        <x:v>T108-003</x:v>
      </x:c>
      <x:c r="D49" s="12" t="n">
        <x:v>46287</x:v>
      </x:c>
      <x:c r="E49" s="1" t="n">
        <x:v>85</x:v>
      </x:c>
      <x:c r="F49" s="1" t="str">
        <x:v>无差错</x:v>
      </x:c>
      <x:c r="G49" s="1" t="str">
        <x:v>已复核</x:v>
      </x:c>
      <x:c r="H49" s="39" t="n">
        <x:f>IF(AND(D49&gt;='制度参数'!$B$13,D49&lt;='制度参数'!$B$14,G49="已复核"),1,0)</x:f>
        <x:v>1</x:v>
      </x:c>
      <x:c r="I49" s="1" t="n">
        <x:f>H49*E49</x:f>
        <x:v>85</x:v>
      </x:c>
      <x:c r="J49" s="37" t="n">
        <x:f>H49*VLOOKUP(F49,'制度参数'!$Q$5:$R$7,2,FALSE)</x:f>
        <x:v>0</x:v>
      </x:c>
      <x:c r="K49" s="39" t="str">
        <x:f>IF(H49=1,"有效质检",IF(OR(D49&lt;'制度参数'!$B$13,D49&gt;'制度参数'!$B$14),"检查日期不在本月","复核未完成"))</x:f>
        <x:v>有效质检</x:v>
      </x:c>
    </x:row>
    <x:row r="50" ht="24" customHeight="1">
      <x:c r="A50" s="9" t="str">
        <x:v>Q108-04</x:v>
      </x:c>
      <x:c r="B50" s="9" t="str">
        <x:v>CS108</x:v>
      </x:c>
      <x:c r="C50" s="9" t="str">
        <x:v>T108-004</x:v>
      </x:c>
      <x:c r="D50" s="13" t="n">
        <x:v>46265</x:v>
      </x:c>
      <x:c r="E50" s="9" t="n">
        <x:v>0</x:v>
      </x:c>
      <x:c r="F50" s="9" t="str">
        <x:v>严重差错</x:v>
      </x:c>
      <x:c r="G50" s="9" t="str">
        <x:v>已复核</x:v>
      </x:c>
      <x:c r="H50" s="40" t="n">
        <x:f>IF(AND(D50&gt;='制度参数'!$B$13,D50&lt;='制度参数'!$B$14,G50="已复核"),1,0)</x:f>
        <x:v>0</x:v>
      </x:c>
      <x:c r="I50" s="9" t="n">
        <x:f>H50*E50</x:f>
        <x:v>0</x:v>
      </x:c>
      <x:c r="J50" s="38" t="n">
        <x:f>H50*VLOOKUP(F50,'制度参数'!$Q$5:$R$7,2,FALSE)</x:f>
        <x:v>0</x:v>
      </x:c>
      <x:c r="K50" s="40" t="str">
        <x:f>IF(H50=1,"有效质检",IF(OR(D50&lt;'制度参数'!$B$13,D50&gt;'制度参数'!$B$14),"检查日期不在本月","复核未完成"))</x:f>
        <x:v>检查日期不在本月</x:v>
      </x:c>
    </x:row>
    <x:row r="51" ht="24" customHeight="1">
      <x:c r="A51" s="1" t="str">
        <x:v>Q108-05</x:v>
      </x:c>
      <x:c r="B51" s="1" t="str">
        <x:v>CS108</x:v>
      </x:c>
      <x:c r="C51" s="1" t="str">
        <x:v>T108-005</x:v>
      </x:c>
      <x:c r="D51" s="12" t="n">
        <x:v>46296</x:v>
      </x:c>
      <x:c r="E51" s="1" t="n">
        <x:v>0</x:v>
      </x:c>
      <x:c r="F51" s="1" t="str">
        <x:v>严重差错</x:v>
      </x:c>
      <x:c r="G51" s="1" t="str">
        <x:v>已复核</x:v>
      </x:c>
      <x:c r="H51" s="39" t="n">
        <x:f>IF(AND(D51&gt;='制度参数'!$B$13,D51&lt;='制度参数'!$B$14,G51="已复核"),1,0)</x:f>
        <x:v>0</x:v>
      </x:c>
      <x:c r="I51" s="1" t="n">
        <x:f>H51*E51</x:f>
        <x:v>0</x:v>
      </x:c>
      <x:c r="J51" s="37" t="n">
        <x:f>H51*VLOOKUP(F51,'制度参数'!$Q$5:$R$7,2,FALSE)</x:f>
        <x:v>0</x:v>
      </x:c>
      <x:c r="K51" s="39" t="str">
        <x:f>IF(H51=1,"有效质检",IF(OR(D51&lt;'制度参数'!$B$13,D51&gt;'制度参数'!$B$14),"检查日期不在本月","复核未完成"))</x:f>
        <x:v>检查日期不在本月</x:v>
      </x:c>
    </x:row>
    <x:row r="52" ht="24" customHeight="1">
      <x:c r="A52" s="9" t="str">
        <x:v>Q108-06</x:v>
      </x:c>
      <x:c r="B52" s="9" t="str">
        <x:v>CS108</x:v>
      </x:c>
      <x:c r="C52" s="9" t="str">
        <x:v>T108-006</x:v>
      </x:c>
      <x:c r="D52" s="13" t="n">
        <x:v>46294</x:v>
      </x:c>
      <x:c r="E52" s="9" t="n">
        <x:v>0</x:v>
      </x:c>
      <x:c r="F52" s="9" t="str">
        <x:v>严重差错</x:v>
      </x:c>
      <x:c r="G52" s="9" t="str">
        <x:v>待复核</x:v>
      </x:c>
      <x:c r="H52" s="40" t="n">
        <x:f>IF(AND(D52&gt;='制度参数'!$B$13,D52&lt;='制度参数'!$B$14,G52="已复核"),1,0)</x:f>
        <x:v>0</x:v>
      </x:c>
      <x:c r="I52" s="9" t="n">
        <x:f>H52*E52</x:f>
        <x:v>0</x:v>
      </x:c>
      <x:c r="J52" s="38" t="n">
        <x:f>H52*VLOOKUP(F52,'制度参数'!$Q$5:$R$7,2,FALSE)</x:f>
        <x:v>0</x:v>
      </x:c>
      <x:c r="K52" s="40" t="str">
        <x:f>IF(H52=1,"有效质检",IF(OR(D52&lt;'制度参数'!$B$13,D52&gt;'制度参数'!$B$14),"检查日期不在本月","复核未完成"))</x:f>
        <x:v>复核未完成</x:v>
      </x:c>
    </x:row>
    <x:row r="53" ht="24" customHeight="1">
      <x:c r="A53" s="1" t="str">
        <x:v>Q109-01</x:v>
      </x:c>
      <x:c r="B53" s="1" t="str">
        <x:v>CS109</x:v>
      </x:c>
      <x:c r="C53" s="1" t="str">
        <x:v>T109-001</x:v>
      </x:c>
      <x:c r="D53" s="12" t="n">
        <x:v>46273</x:v>
      </x:c>
      <x:c r="E53" s="1" t="n">
        <x:v>99</x:v>
      </x:c>
      <x:c r="F53" s="1" t="str">
        <x:v>无差错</x:v>
      </x:c>
      <x:c r="G53" s="1" t="str">
        <x:v>已复核</x:v>
      </x:c>
      <x:c r="H53" s="39" t="n">
        <x:f>IF(AND(D53&gt;='制度参数'!$B$13,D53&lt;='制度参数'!$B$14,G53="已复核"),1,0)</x:f>
        <x:v>1</x:v>
      </x:c>
      <x:c r="I53" s="1" t="n">
        <x:f>H53*E53</x:f>
        <x:v>99</x:v>
      </x:c>
      <x:c r="J53" s="37" t="n">
        <x:f>H53*VLOOKUP(F53,'制度参数'!$Q$5:$R$7,2,FALSE)</x:f>
        <x:v>0</x:v>
      </x:c>
      <x:c r="K53" s="39" t="str">
        <x:f>IF(H53=1,"有效质检",IF(OR(D53&lt;'制度参数'!$B$13,D53&gt;'制度参数'!$B$14),"检查日期不在本月","复核未完成"))</x:f>
        <x:v>有效质检</x:v>
      </x:c>
    </x:row>
    <x:row r="54" ht="24" customHeight="1">
      <x:c r="A54" s="9" t="str">
        <x:v>Q109-02</x:v>
      </x:c>
      <x:c r="B54" s="9" t="str">
        <x:v>CS109</x:v>
      </x:c>
      <x:c r="C54" s="9" t="str">
        <x:v>T109-002</x:v>
      </x:c>
      <x:c r="D54" s="13" t="n">
        <x:v>46280</x:v>
      </x:c>
      <x:c r="E54" s="9" t="n">
        <x:v>99</x:v>
      </x:c>
      <x:c r="F54" s="9" t="str">
        <x:v>无差错</x:v>
      </x:c>
      <x:c r="G54" s="9" t="str">
        <x:v>已复核</x:v>
      </x:c>
      <x:c r="H54" s="40" t="n">
        <x:f>IF(AND(D54&gt;='制度参数'!$B$13,D54&lt;='制度参数'!$B$14,G54="已复核"),1,0)</x:f>
        <x:v>1</x:v>
      </x:c>
      <x:c r="I54" s="9" t="n">
        <x:f>H54*E54</x:f>
        <x:v>99</x:v>
      </x:c>
      <x:c r="J54" s="38" t="n">
        <x:f>H54*VLOOKUP(F54,'制度参数'!$Q$5:$R$7,2,FALSE)</x:f>
        <x:v>0</x:v>
      </x:c>
      <x:c r="K54" s="40" t="str">
        <x:f>IF(H54=1,"有效质检",IF(OR(D54&lt;'制度参数'!$B$13,D54&gt;'制度参数'!$B$14),"检查日期不在本月","复核未完成"))</x:f>
        <x:v>有效质检</x:v>
      </x:c>
    </x:row>
    <x:row r="55" ht="24" customHeight="1">
      <x:c r="A55" s="1" t="str">
        <x:v>Q109-03</x:v>
      </x:c>
      <x:c r="B55" s="1" t="str">
        <x:v>CS109</x:v>
      </x:c>
      <x:c r="C55" s="1" t="str">
        <x:v>T109-003</x:v>
      </x:c>
      <x:c r="D55" s="12" t="n">
        <x:v>46287</x:v>
      </x:c>
      <x:c r="E55" s="1" t="n">
        <x:v>99</x:v>
      </x:c>
      <x:c r="F55" s="1" t="str">
        <x:v>无差错</x:v>
      </x:c>
      <x:c r="G55" s="1" t="str">
        <x:v>已复核</x:v>
      </x:c>
      <x:c r="H55" s="39" t="n">
        <x:f>IF(AND(D55&gt;='制度参数'!$B$13,D55&lt;='制度参数'!$B$14,G55="已复核"),1,0)</x:f>
        <x:v>1</x:v>
      </x:c>
      <x:c r="I55" s="1" t="n">
        <x:f>H55*E55</x:f>
        <x:v>99</x:v>
      </x:c>
      <x:c r="J55" s="37" t="n">
        <x:f>H55*VLOOKUP(F55,'制度参数'!$Q$5:$R$7,2,FALSE)</x:f>
        <x:v>0</x:v>
      </x:c>
      <x:c r="K55" s="39" t="str">
        <x:f>IF(H55=1,"有效质检",IF(OR(D55&lt;'制度参数'!$B$13,D55&gt;'制度参数'!$B$14),"检查日期不在本月","复核未完成"))</x:f>
        <x:v>有效质检</x:v>
      </x:c>
    </x:row>
    <x:row r="56" ht="24" customHeight="1">
      <x:c r="A56" s="9" t="str">
        <x:v>Q109-04</x:v>
      </x:c>
      <x:c r="B56" s="9" t="str">
        <x:v>CS109</x:v>
      </x:c>
      <x:c r="C56" s="9" t="str">
        <x:v>T109-004</x:v>
      </x:c>
      <x:c r="D56" s="13" t="n">
        <x:v>46265</x:v>
      </x:c>
      <x:c r="E56" s="9" t="n">
        <x:v>0</x:v>
      </x:c>
      <x:c r="F56" s="9" t="str">
        <x:v>严重差错</x:v>
      </x:c>
      <x:c r="G56" s="9" t="str">
        <x:v>已复核</x:v>
      </x:c>
      <x:c r="H56" s="40" t="n">
        <x:f>IF(AND(D56&gt;='制度参数'!$B$13,D56&lt;='制度参数'!$B$14,G56="已复核"),1,0)</x:f>
        <x:v>0</x:v>
      </x:c>
      <x:c r="I56" s="9" t="n">
        <x:f>H56*E56</x:f>
        <x:v>0</x:v>
      </x:c>
      <x:c r="J56" s="38" t="n">
        <x:f>H56*VLOOKUP(F56,'制度参数'!$Q$5:$R$7,2,FALSE)</x:f>
        <x:v>0</x:v>
      </x:c>
      <x:c r="K56" s="40" t="str">
        <x:f>IF(H56=1,"有效质检",IF(OR(D56&lt;'制度参数'!$B$13,D56&gt;'制度参数'!$B$14),"检查日期不在本月","复核未完成"))</x:f>
        <x:v>检查日期不在本月</x:v>
      </x:c>
    </x:row>
    <x:row r="57" ht="24" customHeight="1">
      <x:c r="A57" s="1" t="str">
        <x:v>Q109-05</x:v>
      </x:c>
      <x:c r="B57" s="1" t="str">
        <x:v>CS109</x:v>
      </x:c>
      <x:c r="C57" s="1" t="str">
        <x:v>T109-005</x:v>
      </x:c>
      <x:c r="D57" s="12" t="n">
        <x:v>46296</x:v>
      </x:c>
      <x:c r="E57" s="1" t="n">
        <x:v>0</x:v>
      </x:c>
      <x:c r="F57" s="1" t="str">
        <x:v>严重差错</x:v>
      </x:c>
      <x:c r="G57" s="1" t="str">
        <x:v>已复核</x:v>
      </x:c>
      <x:c r="H57" s="39" t="n">
        <x:f>IF(AND(D57&gt;='制度参数'!$B$13,D57&lt;='制度参数'!$B$14,G57="已复核"),1,0)</x:f>
        <x:v>0</x:v>
      </x:c>
      <x:c r="I57" s="1" t="n">
        <x:f>H57*E57</x:f>
        <x:v>0</x:v>
      </x:c>
      <x:c r="J57" s="37" t="n">
        <x:f>H57*VLOOKUP(F57,'制度参数'!$Q$5:$R$7,2,FALSE)</x:f>
        <x:v>0</x:v>
      </x:c>
      <x:c r="K57" s="39" t="str">
        <x:f>IF(H57=1,"有效质检",IF(OR(D57&lt;'制度参数'!$B$13,D57&gt;'制度参数'!$B$14),"检查日期不在本月","复核未完成"))</x:f>
        <x:v>检查日期不在本月</x:v>
      </x:c>
    </x:row>
    <x:row r="58" ht="24" customHeight="1">
      <x:c r="A58" s="9" t="str">
        <x:v>Q109-06</x:v>
      </x:c>
      <x:c r="B58" s="9" t="str">
        <x:v>CS109</x:v>
      </x:c>
      <x:c r="C58" s="9" t="str">
        <x:v>T109-006</x:v>
      </x:c>
      <x:c r="D58" s="13" t="n">
        <x:v>46294</x:v>
      </x:c>
      <x:c r="E58" s="9" t="n">
        <x:v>0</x:v>
      </x:c>
      <x:c r="F58" s="9" t="str">
        <x:v>严重差错</x:v>
      </x:c>
      <x:c r="G58" s="9" t="str">
        <x:v>待复核</x:v>
      </x:c>
      <x:c r="H58" s="40" t="n">
        <x:f>IF(AND(D58&gt;='制度参数'!$B$13,D58&lt;='制度参数'!$B$14,G58="已复核"),1,0)</x:f>
        <x:v>0</x:v>
      </x:c>
      <x:c r="I58" s="9" t="n">
        <x:f>H58*E58</x:f>
        <x:v>0</x:v>
      </x:c>
      <x:c r="J58" s="38" t="n">
        <x:f>H58*VLOOKUP(F58,'制度参数'!$Q$5:$R$7,2,FALSE)</x:f>
        <x:v>0</x:v>
      </x:c>
      <x:c r="K58" s="40" t="str">
        <x:f>IF(H58=1,"有效质检",IF(OR(D58&lt;'制度参数'!$B$13,D58&gt;'制度参数'!$B$14),"检查日期不在本月","复核未完成"))</x:f>
        <x:v>复核未完成</x:v>
      </x:c>
    </x:row>
    <x:row r="59" ht="24" customHeight="1">
      <x:c r="A59" s="1" t="str">
        <x:v>Q110-01</x:v>
      </x:c>
      <x:c r="B59" s="1" t="str">
        <x:v>CS110</x:v>
      </x:c>
      <x:c r="C59" s="1" t="str">
        <x:v>T110-001</x:v>
      </x:c>
      <x:c r="D59" s="12" t="n">
        <x:v>46273</x:v>
      </x:c>
      <x:c r="E59" s="1" t="n">
        <x:v>96</x:v>
      </x:c>
      <x:c r="F59" s="1" t="str">
        <x:v>无差错</x:v>
      </x:c>
      <x:c r="G59" s="1" t="str">
        <x:v>已复核</x:v>
      </x:c>
      <x:c r="H59" s="39" t="n">
        <x:f>IF(AND(D59&gt;='制度参数'!$B$13,D59&lt;='制度参数'!$B$14,G59="已复核"),1,0)</x:f>
        <x:v>1</x:v>
      </x:c>
      <x:c r="I59" s="1" t="n">
        <x:f>H59*E59</x:f>
        <x:v>96</x:v>
      </x:c>
      <x:c r="J59" s="37" t="n">
        <x:f>H59*VLOOKUP(F59,'制度参数'!$Q$5:$R$7,2,FALSE)</x:f>
        <x:v>0</x:v>
      </x:c>
      <x:c r="K59" s="39" t="str">
        <x:f>IF(H59=1,"有效质检",IF(OR(D59&lt;'制度参数'!$B$13,D59&gt;'制度参数'!$B$14),"检查日期不在本月","复核未完成"))</x:f>
        <x:v>有效质检</x:v>
      </x:c>
    </x:row>
    <x:row r="60" ht="24" customHeight="1">
      <x:c r="A60" s="9" t="str">
        <x:v>Q110-02</x:v>
      </x:c>
      <x:c r="B60" s="9" t="str">
        <x:v>CS110</x:v>
      </x:c>
      <x:c r="C60" s="9" t="str">
        <x:v>T110-002</x:v>
      </x:c>
      <x:c r="D60" s="13" t="n">
        <x:v>46280</x:v>
      </x:c>
      <x:c r="E60" s="9" t="n">
        <x:v>97</x:v>
      </x:c>
      <x:c r="F60" s="9" t="str">
        <x:v>无差错</x:v>
      </x:c>
      <x:c r="G60" s="9" t="str">
        <x:v>已复核</x:v>
      </x:c>
      <x:c r="H60" s="40" t="n">
        <x:f>IF(AND(D60&gt;='制度参数'!$B$13,D60&lt;='制度参数'!$B$14,G60="已复核"),1,0)</x:f>
        <x:v>1</x:v>
      </x:c>
      <x:c r="I60" s="9" t="n">
        <x:f>H60*E60</x:f>
        <x:v>97</x:v>
      </x:c>
      <x:c r="J60" s="38" t="n">
        <x:f>H60*VLOOKUP(F60,'制度参数'!$Q$5:$R$7,2,FALSE)</x:f>
        <x:v>0</x:v>
      </x:c>
      <x:c r="K60" s="40" t="str">
        <x:f>IF(H60=1,"有效质检",IF(OR(D60&lt;'制度参数'!$B$13,D60&gt;'制度参数'!$B$14),"检查日期不在本月","复核未完成"))</x:f>
        <x:v>有效质检</x:v>
      </x:c>
    </x:row>
    <x:row r="61" ht="24" customHeight="1">
      <x:c r="A61" s="1" t="str">
        <x:v>Q110-03</x:v>
      </x:c>
      <x:c r="B61" s="1" t="str">
        <x:v>CS110</x:v>
      </x:c>
      <x:c r="C61" s="1" t="str">
        <x:v>T110-003</x:v>
      </x:c>
      <x:c r="D61" s="12" t="n">
        <x:v>46287</x:v>
      </x:c>
      <x:c r="E61" s="1" t="n">
        <x:v>98</x:v>
      </x:c>
      <x:c r="F61" s="1" t="str">
        <x:v>无差错</x:v>
      </x:c>
      <x:c r="G61" s="1" t="str">
        <x:v>已复核</x:v>
      </x:c>
      <x:c r="H61" s="39" t="n">
        <x:f>IF(AND(D61&gt;='制度参数'!$B$13,D61&lt;='制度参数'!$B$14,G61="已复核"),1,0)</x:f>
        <x:v>1</x:v>
      </x:c>
      <x:c r="I61" s="1" t="n">
        <x:f>H61*E61</x:f>
        <x:v>98</x:v>
      </x:c>
      <x:c r="J61" s="37" t="n">
        <x:f>H61*VLOOKUP(F61,'制度参数'!$Q$5:$R$7,2,FALSE)</x:f>
        <x:v>0</x:v>
      </x:c>
      <x:c r="K61" s="39" t="str">
        <x:f>IF(H61=1,"有效质检",IF(OR(D61&lt;'制度参数'!$B$13,D61&gt;'制度参数'!$B$14),"检查日期不在本月","复核未完成"))</x:f>
        <x:v>有效质检</x:v>
      </x:c>
    </x:row>
    <x:row r="62" ht="24" customHeight="1">
      <x:c r="A62" s="9" t="str">
        <x:v>Q110-04</x:v>
      </x:c>
      <x:c r="B62" s="9" t="str">
        <x:v>CS110</x:v>
      </x:c>
      <x:c r="C62" s="9" t="str">
        <x:v>T110-004</x:v>
      </x:c>
      <x:c r="D62" s="13" t="n">
        <x:v>46265</x:v>
      </x:c>
      <x:c r="E62" s="9" t="n">
        <x:v>0</x:v>
      </x:c>
      <x:c r="F62" s="9" t="str">
        <x:v>严重差错</x:v>
      </x:c>
      <x:c r="G62" s="9" t="str">
        <x:v>已复核</x:v>
      </x:c>
      <x:c r="H62" s="40" t="n">
        <x:f>IF(AND(D62&gt;='制度参数'!$B$13,D62&lt;='制度参数'!$B$14,G62="已复核"),1,0)</x:f>
        <x:v>0</x:v>
      </x:c>
      <x:c r="I62" s="9" t="n">
        <x:f>H62*E62</x:f>
        <x:v>0</x:v>
      </x:c>
      <x:c r="J62" s="38" t="n">
        <x:f>H62*VLOOKUP(F62,'制度参数'!$Q$5:$R$7,2,FALSE)</x:f>
        <x:v>0</x:v>
      </x:c>
      <x:c r="K62" s="40" t="str">
        <x:f>IF(H62=1,"有效质检",IF(OR(D62&lt;'制度参数'!$B$13,D62&gt;'制度参数'!$B$14),"检查日期不在本月","复核未完成"))</x:f>
        <x:v>检查日期不在本月</x:v>
      </x:c>
    </x:row>
    <x:row r="63" ht="24" customHeight="1">
      <x:c r="A63" s="1" t="str">
        <x:v>Q110-05</x:v>
      </x:c>
      <x:c r="B63" s="1" t="str">
        <x:v>CS110</x:v>
      </x:c>
      <x:c r="C63" s="1" t="str">
        <x:v>T110-005</x:v>
      </x:c>
      <x:c r="D63" s="12" t="n">
        <x:v>46296</x:v>
      </x:c>
      <x:c r="E63" s="1" t="n">
        <x:v>0</x:v>
      </x:c>
      <x:c r="F63" s="1" t="str">
        <x:v>严重差错</x:v>
      </x:c>
      <x:c r="G63" s="1" t="str">
        <x:v>已复核</x:v>
      </x:c>
      <x:c r="H63" s="39" t="n">
        <x:f>IF(AND(D63&gt;='制度参数'!$B$13,D63&lt;='制度参数'!$B$14,G63="已复核"),1,0)</x:f>
        <x:v>0</x:v>
      </x:c>
      <x:c r="I63" s="1" t="n">
        <x:f>H63*E63</x:f>
        <x:v>0</x:v>
      </x:c>
      <x:c r="J63" s="37" t="n">
        <x:f>H63*VLOOKUP(F63,'制度参数'!$Q$5:$R$7,2,FALSE)</x:f>
        <x:v>0</x:v>
      </x:c>
      <x:c r="K63" s="39" t="str">
        <x:f>IF(H63=1,"有效质检",IF(OR(D63&lt;'制度参数'!$B$13,D63&gt;'制度参数'!$B$14),"检查日期不在本月","复核未完成"))</x:f>
        <x:v>检查日期不在本月</x:v>
      </x:c>
    </x:row>
    <x:row r="64" ht="24" customHeight="1">
      <x:c r="A64" s="9" t="str">
        <x:v>Q110-06</x:v>
      </x:c>
      <x:c r="B64" s="9" t="str">
        <x:v>CS110</x:v>
      </x:c>
      <x:c r="C64" s="9" t="str">
        <x:v>T110-006</x:v>
      </x:c>
      <x:c r="D64" s="13" t="n">
        <x:v>46294</x:v>
      </x:c>
      <x:c r="E64" s="9" t="n">
        <x:v>0</x:v>
      </x:c>
      <x:c r="F64" s="9" t="str">
        <x:v>严重差错</x:v>
      </x:c>
      <x:c r="G64" s="9" t="str">
        <x:v>待复核</x:v>
      </x:c>
      <x:c r="H64" s="40" t="n">
        <x:f>IF(AND(D64&gt;='制度参数'!$B$13,D64&lt;='制度参数'!$B$14,G64="已复核"),1,0)</x:f>
        <x:v>0</x:v>
      </x:c>
      <x:c r="I64" s="9" t="n">
        <x:f>H64*E64</x:f>
        <x:v>0</x:v>
      </x:c>
      <x:c r="J64" s="38" t="n">
        <x:f>H64*VLOOKUP(F64,'制度参数'!$Q$5:$R$7,2,FALSE)</x:f>
        <x:v>0</x:v>
      </x:c>
      <x:c r="K64" s="40" t="str">
        <x:f>IF(H64=1,"有效质检",IF(OR(D64&lt;'制度参数'!$B$13,D64&gt;'制度参数'!$B$14),"检查日期不在本月","复核未完成"))</x:f>
        <x:v>复核未完成</x:v>
      </x:c>
    </x:row>
    <x:row r="65" ht="24" customHeight="1">
      <x:c r="A65" s="1" t="str">
        <x:v>Q111-01</x:v>
      </x:c>
      <x:c r="B65" s="1" t="str">
        <x:v>CS111</x:v>
      </x:c>
      <x:c r="C65" s="1" t="str">
        <x:v>T111-001</x:v>
      </x:c>
      <x:c r="D65" s="12" t="n">
        <x:v>46273</x:v>
      </x:c>
      <x:c r="E65" s="1" t="n">
        <x:v>85</x:v>
      </x:c>
      <x:c r="F65" s="1" t="str">
        <x:v>一般差错</x:v>
      </x:c>
      <x:c r="G65" s="1" t="str">
        <x:v>已复核</x:v>
      </x:c>
      <x:c r="H65" s="39" t="n">
        <x:f>IF(AND(D65&gt;='制度参数'!$B$13,D65&lt;='制度参数'!$B$14,G65="已复核"),1,0)</x:f>
        <x:v>1</x:v>
      </x:c>
      <x:c r="I65" s="1" t="n">
        <x:f>H65*E65</x:f>
        <x:v>85</x:v>
      </x:c>
      <x:c r="J65" s="37" t="n">
        <x:f>H65*VLOOKUP(F65,'制度参数'!$Q$5:$R$7,2,FALSE)</x:f>
        <x:v>20</x:v>
      </x:c>
      <x:c r="K65" s="39" t="str">
        <x:f>IF(H65=1,"有效质检",IF(OR(D65&lt;'制度参数'!$B$13,D65&gt;'制度参数'!$B$14),"检查日期不在本月","复核未完成"))</x:f>
        <x:v>有效质检</x:v>
      </x:c>
    </x:row>
    <x:row r="66" ht="24" customHeight="1">
      <x:c r="A66" s="9" t="str">
        <x:v>Q111-02</x:v>
      </x:c>
      <x:c r="B66" s="9" t="str">
        <x:v>CS111</x:v>
      </x:c>
      <x:c r="C66" s="9" t="str">
        <x:v>T111-002</x:v>
      </x:c>
      <x:c r="D66" s="13" t="n">
        <x:v>46280</x:v>
      </x:c>
      <x:c r="E66" s="9" t="n">
        <x:v>86</x:v>
      </x:c>
      <x:c r="F66" s="9" t="str">
        <x:v>无差错</x:v>
      </x:c>
      <x:c r="G66" s="9" t="str">
        <x:v>已复核</x:v>
      </x:c>
      <x:c r="H66" s="40" t="n">
        <x:f>IF(AND(D66&gt;='制度参数'!$B$13,D66&lt;='制度参数'!$B$14,G66="已复核"),1,0)</x:f>
        <x:v>1</x:v>
      </x:c>
      <x:c r="I66" s="9" t="n">
        <x:f>H66*E66</x:f>
        <x:v>86</x:v>
      </x:c>
      <x:c r="J66" s="38" t="n">
        <x:f>H66*VLOOKUP(F66,'制度参数'!$Q$5:$R$7,2,FALSE)</x:f>
        <x:v>0</x:v>
      </x:c>
      <x:c r="K66" s="40" t="str">
        <x:f>IF(H66=1,"有效质检",IF(OR(D66&lt;'制度参数'!$B$13,D66&gt;'制度参数'!$B$14),"检查日期不在本月","复核未完成"))</x:f>
        <x:v>有效质检</x:v>
      </x:c>
    </x:row>
    <x:row r="67" ht="24" customHeight="1">
      <x:c r="A67" s="1" t="str">
        <x:v>Q111-03</x:v>
      </x:c>
      <x:c r="B67" s="1" t="str">
        <x:v>CS111</x:v>
      </x:c>
      <x:c r="C67" s="1" t="str">
        <x:v>T111-003</x:v>
      </x:c>
      <x:c r="D67" s="12" t="n">
        <x:v>46287</x:v>
      </x:c>
      <x:c r="E67" s="1" t="n">
        <x:v>87</x:v>
      </x:c>
      <x:c r="F67" s="1" t="str">
        <x:v>无差错</x:v>
      </x:c>
      <x:c r="G67" s="1" t="str">
        <x:v>已复核</x:v>
      </x:c>
      <x:c r="H67" s="39" t="n">
        <x:f>IF(AND(D67&gt;='制度参数'!$B$13,D67&lt;='制度参数'!$B$14,G67="已复核"),1,0)</x:f>
        <x:v>1</x:v>
      </x:c>
      <x:c r="I67" s="1" t="n">
        <x:f>H67*E67</x:f>
        <x:v>87</x:v>
      </x:c>
      <x:c r="J67" s="37" t="n">
        <x:f>H67*VLOOKUP(F67,'制度参数'!$Q$5:$R$7,2,FALSE)</x:f>
        <x:v>0</x:v>
      </x:c>
      <x:c r="K67" s="39" t="str">
        <x:f>IF(H67=1,"有效质检",IF(OR(D67&lt;'制度参数'!$B$13,D67&gt;'制度参数'!$B$14),"检查日期不在本月","复核未完成"))</x:f>
        <x:v>有效质检</x:v>
      </x:c>
    </x:row>
    <x:row r="68" ht="24" customHeight="1">
      <x:c r="A68" s="9" t="str">
        <x:v>Q111-04</x:v>
      </x:c>
      <x:c r="B68" s="9" t="str">
        <x:v>CS111</x:v>
      </x:c>
      <x:c r="C68" s="9" t="str">
        <x:v>T111-004</x:v>
      </x:c>
      <x:c r="D68" s="13" t="n">
        <x:v>46265</x:v>
      </x:c>
      <x:c r="E68" s="9" t="n">
        <x:v>0</x:v>
      </x:c>
      <x:c r="F68" s="9" t="str">
        <x:v>严重差错</x:v>
      </x:c>
      <x:c r="G68" s="9" t="str">
        <x:v>已复核</x:v>
      </x:c>
      <x:c r="H68" s="40" t="n">
        <x:f>IF(AND(D68&gt;='制度参数'!$B$13,D68&lt;='制度参数'!$B$14,G68="已复核"),1,0)</x:f>
        <x:v>0</x:v>
      </x:c>
      <x:c r="I68" s="9" t="n">
        <x:f>H68*E68</x:f>
        <x:v>0</x:v>
      </x:c>
      <x:c r="J68" s="38" t="n">
        <x:f>H68*VLOOKUP(F68,'制度参数'!$Q$5:$R$7,2,FALSE)</x:f>
        <x:v>0</x:v>
      </x:c>
      <x:c r="K68" s="40" t="str">
        <x:f>IF(H68=1,"有效质检",IF(OR(D68&lt;'制度参数'!$B$13,D68&gt;'制度参数'!$B$14),"检查日期不在本月","复核未完成"))</x:f>
        <x:v>检查日期不在本月</x:v>
      </x:c>
    </x:row>
    <x:row r="69" ht="24" customHeight="1">
      <x:c r="A69" s="1" t="str">
        <x:v>Q111-05</x:v>
      </x:c>
      <x:c r="B69" s="1" t="str">
        <x:v>CS111</x:v>
      </x:c>
      <x:c r="C69" s="1" t="str">
        <x:v>T111-005</x:v>
      </x:c>
      <x:c r="D69" s="12" t="n">
        <x:v>46296</x:v>
      </x:c>
      <x:c r="E69" s="1" t="n">
        <x:v>0</x:v>
      </x:c>
      <x:c r="F69" s="1" t="str">
        <x:v>严重差错</x:v>
      </x:c>
      <x:c r="G69" s="1" t="str">
        <x:v>已复核</x:v>
      </x:c>
      <x:c r="H69" s="39" t="n">
        <x:f>IF(AND(D69&gt;='制度参数'!$B$13,D69&lt;='制度参数'!$B$14,G69="已复核"),1,0)</x:f>
        <x:v>0</x:v>
      </x:c>
      <x:c r="I69" s="1" t="n">
        <x:f>H69*E69</x:f>
        <x:v>0</x:v>
      </x:c>
      <x:c r="J69" s="37" t="n">
        <x:f>H69*VLOOKUP(F69,'制度参数'!$Q$5:$R$7,2,FALSE)</x:f>
        <x:v>0</x:v>
      </x:c>
      <x:c r="K69" s="39" t="str">
        <x:f>IF(H69=1,"有效质检",IF(OR(D69&lt;'制度参数'!$B$13,D69&gt;'制度参数'!$B$14),"检查日期不在本月","复核未完成"))</x:f>
        <x:v>检查日期不在本月</x:v>
      </x:c>
    </x:row>
    <x:row r="70" ht="24" customHeight="1">
      <x:c r="A70" s="9" t="str">
        <x:v>Q111-06</x:v>
      </x:c>
      <x:c r="B70" s="9" t="str">
        <x:v>CS111</x:v>
      </x:c>
      <x:c r="C70" s="9" t="str">
        <x:v>T111-006</x:v>
      </x:c>
      <x:c r="D70" s="13" t="n">
        <x:v>46294</x:v>
      </x:c>
      <x:c r="E70" s="9" t="n">
        <x:v>0</x:v>
      </x:c>
      <x:c r="F70" s="9" t="str">
        <x:v>严重差错</x:v>
      </x:c>
      <x:c r="G70" s="9" t="str">
        <x:v>待复核</x:v>
      </x:c>
      <x:c r="H70" s="40" t="n">
        <x:f>IF(AND(D70&gt;='制度参数'!$B$13,D70&lt;='制度参数'!$B$14,G70="已复核"),1,0)</x:f>
        <x:v>0</x:v>
      </x:c>
      <x:c r="I70" s="9" t="n">
        <x:f>H70*E70</x:f>
        <x:v>0</x:v>
      </x:c>
      <x:c r="J70" s="38" t="n">
        <x:f>H70*VLOOKUP(F70,'制度参数'!$Q$5:$R$7,2,FALSE)</x:f>
        <x:v>0</x:v>
      </x:c>
      <x:c r="K70" s="40" t="str">
        <x:f>IF(H70=1,"有效质检",IF(OR(D70&lt;'制度参数'!$B$13,D70&gt;'制度参数'!$B$14),"检查日期不在本月","复核未完成"))</x:f>
        <x:v>复核未完成</x:v>
      </x:c>
    </x:row>
    <x:row r="71" ht="24" customHeight="1">
      <x:c r="A71" s="1" t="str">
        <x:v>Q112-01</x:v>
      </x:c>
      <x:c r="B71" s="1" t="str">
        <x:v>CS112</x:v>
      </x:c>
      <x:c r="C71" s="1" t="str">
        <x:v>T112-001</x:v>
      </x:c>
      <x:c r="D71" s="12" t="n">
        <x:v>46273</x:v>
      </x:c>
      <x:c r="E71" s="1" t="n">
        <x:v>99</x:v>
      </x:c>
      <x:c r="F71" s="1" t="str">
        <x:v>无差错</x:v>
      </x:c>
      <x:c r="G71" s="1" t="str">
        <x:v>已复核</x:v>
      </x:c>
      <x:c r="H71" s="39" t="n">
        <x:f>IF(AND(D71&gt;='制度参数'!$B$13,D71&lt;='制度参数'!$B$14,G71="已复核"),1,0)</x:f>
        <x:v>1</x:v>
      </x:c>
      <x:c r="I71" s="1" t="n">
        <x:f>H71*E71</x:f>
        <x:v>99</x:v>
      </x:c>
      <x:c r="J71" s="37" t="n">
        <x:f>H71*VLOOKUP(F71,'制度参数'!$Q$5:$R$7,2,FALSE)</x:f>
        <x:v>0</x:v>
      </x:c>
      <x:c r="K71" s="39" t="str">
        <x:f>IF(H71=1,"有效质检",IF(OR(D71&lt;'制度参数'!$B$13,D71&gt;'制度参数'!$B$14),"检查日期不在本月","复核未完成"))</x:f>
        <x:v>有效质检</x:v>
      </x:c>
    </x:row>
    <x:row r="72" ht="24" customHeight="1">
      <x:c r="A72" s="9" t="str">
        <x:v>Q112-02</x:v>
      </x:c>
      <x:c r="B72" s="9" t="str">
        <x:v>CS112</x:v>
      </x:c>
      <x:c r="C72" s="9" t="str">
        <x:v>T112-002</x:v>
      </x:c>
      <x:c r="D72" s="13" t="n">
        <x:v>46280</x:v>
      </x:c>
      <x:c r="E72" s="9" t="n">
        <x:v>98</x:v>
      </x:c>
      <x:c r="F72" s="9" t="str">
        <x:v>无差错</x:v>
      </x:c>
      <x:c r="G72" s="9" t="str">
        <x:v>已复核</x:v>
      </x:c>
      <x:c r="H72" s="40" t="n">
        <x:f>IF(AND(D72&gt;='制度参数'!$B$13,D72&lt;='制度参数'!$B$14,G72="已复核"),1,0)</x:f>
        <x:v>1</x:v>
      </x:c>
      <x:c r="I72" s="9" t="n">
        <x:f>H72*E72</x:f>
        <x:v>98</x:v>
      </x:c>
      <x:c r="J72" s="38" t="n">
        <x:f>H72*VLOOKUP(F72,'制度参数'!$Q$5:$R$7,2,FALSE)</x:f>
        <x:v>0</x:v>
      </x:c>
      <x:c r="K72" s="40" t="str">
        <x:f>IF(H72=1,"有效质检",IF(OR(D72&lt;'制度参数'!$B$13,D72&gt;'制度参数'!$B$14),"检查日期不在本月","复核未完成"))</x:f>
        <x:v>有效质检</x:v>
      </x:c>
    </x:row>
    <x:row r="73" ht="24" customHeight="1">
      <x:c r="A73" s="1" t="str">
        <x:v>Q112-03</x:v>
      </x:c>
      <x:c r="B73" s="1" t="str">
        <x:v>CS112</x:v>
      </x:c>
      <x:c r="C73" s="1" t="str">
        <x:v>T112-003</x:v>
      </x:c>
      <x:c r="D73" s="12" t="n">
        <x:v>46287</x:v>
      </x:c>
      <x:c r="E73" s="1" t="n">
        <x:v>97</x:v>
      </x:c>
      <x:c r="F73" s="1" t="str">
        <x:v>无差错</x:v>
      </x:c>
      <x:c r="G73" s="1" t="str">
        <x:v>已复核</x:v>
      </x:c>
      <x:c r="H73" s="39" t="n">
        <x:f>IF(AND(D73&gt;='制度参数'!$B$13,D73&lt;='制度参数'!$B$14,G73="已复核"),1,0)</x:f>
        <x:v>1</x:v>
      </x:c>
      <x:c r="I73" s="1" t="n">
        <x:f>H73*E73</x:f>
        <x:v>97</x:v>
      </x:c>
      <x:c r="J73" s="37" t="n">
        <x:f>H73*VLOOKUP(F73,'制度参数'!$Q$5:$R$7,2,FALSE)</x:f>
        <x:v>0</x:v>
      </x:c>
      <x:c r="K73" s="39" t="str">
        <x:f>IF(H73=1,"有效质检",IF(OR(D73&lt;'制度参数'!$B$13,D73&gt;'制度参数'!$B$14),"检查日期不在本月","复核未完成"))</x:f>
        <x:v>有效质检</x:v>
      </x:c>
    </x:row>
    <x:row r="74" ht="24" customHeight="1">
      <x:c r="A74" s="9" t="str">
        <x:v>Q112-04</x:v>
      </x:c>
      <x:c r="B74" s="9" t="str">
        <x:v>CS112</x:v>
      </x:c>
      <x:c r="C74" s="9" t="str">
        <x:v>T112-004</x:v>
      </x:c>
      <x:c r="D74" s="13" t="n">
        <x:v>46265</x:v>
      </x:c>
      <x:c r="E74" s="9" t="n">
        <x:v>0</x:v>
      </x:c>
      <x:c r="F74" s="9" t="str">
        <x:v>严重差错</x:v>
      </x:c>
      <x:c r="G74" s="9" t="str">
        <x:v>已复核</x:v>
      </x:c>
      <x:c r="H74" s="40" t="n">
        <x:f>IF(AND(D74&gt;='制度参数'!$B$13,D74&lt;='制度参数'!$B$14,G74="已复核"),1,0)</x:f>
        <x:v>0</x:v>
      </x:c>
      <x:c r="I74" s="9" t="n">
        <x:f>H74*E74</x:f>
        <x:v>0</x:v>
      </x:c>
      <x:c r="J74" s="38" t="n">
        <x:f>H74*VLOOKUP(F74,'制度参数'!$Q$5:$R$7,2,FALSE)</x:f>
        <x:v>0</x:v>
      </x:c>
      <x:c r="K74" s="40" t="str">
        <x:f>IF(H74=1,"有效质检",IF(OR(D74&lt;'制度参数'!$B$13,D74&gt;'制度参数'!$B$14),"检查日期不在本月","复核未完成"))</x:f>
        <x:v>检查日期不在本月</x:v>
      </x:c>
    </x:row>
    <x:row r="75" ht="24" customHeight="1">
      <x:c r="A75" s="1" t="str">
        <x:v>Q112-05</x:v>
      </x:c>
      <x:c r="B75" s="1" t="str">
        <x:v>CS112</x:v>
      </x:c>
      <x:c r="C75" s="1" t="str">
        <x:v>T112-005</x:v>
      </x:c>
      <x:c r="D75" s="12" t="n">
        <x:v>46296</x:v>
      </x:c>
      <x:c r="E75" s="1" t="n">
        <x:v>0</x:v>
      </x:c>
      <x:c r="F75" s="1" t="str">
        <x:v>严重差错</x:v>
      </x:c>
      <x:c r="G75" s="1" t="str">
        <x:v>已复核</x:v>
      </x:c>
      <x:c r="H75" s="39" t="n">
        <x:f>IF(AND(D75&gt;='制度参数'!$B$13,D75&lt;='制度参数'!$B$14,G75="已复核"),1,0)</x:f>
        <x:v>0</x:v>
      </x:c>
      <x:c r="I75" s="1" t="n">
        <x:f>H75*E75</x:f>
        <x:v>0</x:v>
      </x:c>
      <x:c r="J75" s="37" t="n">
        <x:f>H75*VLOOKUP(F75,'制度参数'!$Q$5:$R$7,2,FALSE)</x:f>
        <x:v>0</x:v>
      </x:c>
      <x:c r="K75" s="39" t="str">
        <x:f>IF(H75=1,"有效质检",IF(OR(D75&lt;'制度参数'!$B$13,D75&gt;'制度参数'!$B$14),"检查日期不在本月","复核未完成"))</x:f>
        <x:v>检查日期不在本月</x:v>
      </x:c>
    </x:row>
    <x:row r="76" ht="24" customHeight="1">
      <x:c r="A76" s="9" t="str">
        <x:v>Q112-06</x:v>
      </x:c>
      <x:c r="B76" s="9" t="str">
        <x:v>CS112</x:v>
      </x:c>
      <x:c r="C76" s="9" t="str">
        <x:v>T112-006</x:v>
      </x:c>
      <x:c r="D76" s="13" t="n">
        <x:v>46294</x:v>
      </x:c>
      <x:c r="E76" s="9" t="n">
        <x:v>0</x:v>
      </x:c>
      <x:c r="F76" s="9" t="str">
        <x:v>严重差错</x:v>
      </x:c>
      <x:c r="G76" s="9" t="str">
        <x:v>待复核</x:v>
      </x:c>
      <x:c r="H76" s="40" t="n">
        <x:f>IF(AND(D76&gt;='制度参数'!$B$13,D76&lt;='制度参数'!$B$14,G76="已复核"),1,0)</x:f>
        <x:v>0</x:v>
      </x:c>
      <x:c r="I76" s="9" t="n">
        <x:f>H76*E76</x:f>
        <x:v>0</x:v>
      </x:c>
      <x:c r="J76" s="38" t="n">
        <x:f>H76*VLOOKUP(F76,'制度参数'!$Q$5:$R$7,2,FALSE)</x:f>
        <x:v>0</x:v>
      </x:c>
      <x:c r="K76" s="40" t="str">
        <x:f>IF(H76=1,"有效质检",IF(OR(D76&lt;'制度参数'!$B$13,D76&gt;'制度参数'!$B$14),"检查日期不在本月","复核未完成"))</x:f>
        <x:v>复核未完成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36" hidden="0" customWidth="1"/>
    <x:col min="4" max="4" width="3" hidden="0" customWidth="1"/>
    <x:col min="5" max="5" width="20" hidden="0" customWidth="1"/>
    <x:col min="6" max="6" width="18" hidden="0" customWidth="1"/>
    <x:col min="7" max="7" width="3" hidden="0" customWidth="1"/>
    <x:col min="8" max="8" width="18" hidden="0" customWidth="1"/>
    <x:col min="9" max="9" width="18" hidden="0" customWidth="1"/>
    <x:col min="10" max="10" width="3" hidden="0" customWidth="1"/>
    <x:col min="11" max="11" width="18" hidden="0" customWidth="1"/>
    <x:col min="12" max="12" width="18" hidden="0" customWidth="1"/>
    <x:col min="13" max="13" width="3" hidden="0" customWidth="1"/>
    <x:col min="14" max="14" width="20" hidden="0" customWidth="1"/>
    <x:col min="15" max="15" width="18" hidden="0" customWidth="1"/>
    <x:col min="16" max="16" width="3" hidden="0" customWidth="1"/>
    <x:col min="17" max="17" width="20" hidden="0" customWidth="1"/>
    <x:col min="18" max="18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8" customHeight="1">
      <x:c r="A2" s="2" t="str">
        <x:v>制度参数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2" customHeight="1">
      <x:c r="A3" s="3" t="str">
        <x:v>参数来源：岗位及用工见03号PDF；难度、时效与质量系数见02号PPT；周期、阶梯与扣款见01号Word。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34" customHeight="1">
      <x:c r="A4" s="8" t="str">
        <x:v>岗位</x:v>
      </x:c>
      <x:c r="B4" s="8" t="str">
        <x:v>保障标准（元）</x:v>
      </x:c>
      <x:c r="C4" s="8" t="str">
        <x:v>个人上限（元）</x:v>
      </x:c>
      <x:c r="D4" s="10" t="str"/>
      <x:c r="E4" s="8" t="str">
        <x:v>用工性质</x:v>
      </x:c>
      <x:c r="F4" s="8" t="str">
        <x:v>用工系数</x:v>
      </x:c>
      <x:c r="G4" s="10" t="str"/>
      <x:c r="H4" s="8" t="str">
        <x:v>难度</x:v>
      </x:c>
      <x:c r="I4" s="8" t="str">
        <x:v>难度系数</x:v>
      </x:c>
      <x:c r="J4" s="10" t="str"/>
      <x:c r="K4" s="8" t="str">
        <x:v>类别</x:v>
      </x:c>
      <x:c r="L4" s="8" t="str">
        <x:v>时效分钟</x:v>
      </x:c>
      <x:c r="M4" s="10" t="str"/>
      <x:c r="N4" s="8" t="str">
        <x:v>平均分下界</x:v>
      </x:c>
      <x:c r="O4" s="8" t="str">
        <x:v>质量系数</x:v>
      </x:c>
      <x:c r="P4" s="10" t="str"/>
      <x:c r="Q4" s="8" t="str">
        <x:v>差错等级</x:v>
      </x:c>
      <x:c r="R4" s="8" t="str">
        <x:v>单次扣款（元）</x:v>
      </x:c>
    </x:row>
    <x:row r="5" ht="24" customHeight="1">
      <x:c r="A5" s="1" t="str">
        <x:v>在线客服</x:v>
      </x:c>
      <x:c r="B5" s="22" t="n">
        <x:v>300</x:v>
      </x:c>
      <x:c r="C5" s="22" t="n">
        <x:v>800</x:v>
      </x:c>
      <x:c r="D5" s="11"/>
      <x:c r="E5" s="1" t="str">
        <x:v>正式</x:v>
      </x:c>
      <x:c r="F5" s="16" t="n">
        <x:v>1</x:v>
      </x:c>
      <x:c r="G5" s="11"/>
      <x:c r="H5" s="1" t="str">
        <x:v>普通</x:v>
      </x:c>
      <x:c r="I5" s="16" t="n">
        <x:v>1</x:v>
      </x:c>
      <x:c r="J5" s="11"/>
      <x:c r="K5" s="1" t="str">
        <x:v>咨询</x:v>
      </x:c>
      <x:c r="L5" s="16" t="n">
        <x:v>30</x:v>
      </x:c>
      <x:c r="M5" s="11"/>
      <x:c r="N5" s="16" t="n">
        <x:v>0</x:v>
      </x:c>
      <x:c r="O5" s="16" t="n">
        <x:v>0</x:v>
      </x:c>
      <x:c r="P5" s="11"/>
      <x:c r="Q5" s="1" t="str">
        <x:v>无差错</x:v>
      </x:c>
      <x:c r="R5" s="22" t="n">
        <x:v>0</x:v>
      </x:c>
    </x:row>
    <x:row r="6" ht="24" customHeight="1">
      <x:c r="A6" s="9" t="str">
        <x:v>电话客服</x:v>
      </x:c>
      <x:c r="B6" s="23" t="n">
        <x:v>360</x:v>
      </x:c>
      <x:c r="C6" s="23" t="n">
        <x:v>1000</x:v>
      </x:c>
      <x:c r="D6" s="11"/>
      <x:c r="E6" s="9" t="str">
        <x:v>试用</x:v>
      </x:c>
      <x:c r="F6" s="17" t="n">
        <x:v>0.6</x:v>
      </x:c>
      <x:c r="G6" s="11"/>
      <x:c r="H6" s="9" t="str">
        <x:v>复杂</x:v>
      </x:c>
      <x:c r="I6" s="17" t="n">
        <x:v>1.5</x:v>
      </x:c>
      <x:c r="J6" s="11"/>
      <x:c r="K6" s="9" t="str">
        <x:v>投诉</x:v>
      </x:c>
      <x:c r="L6" s="17" t="n">
        <x:v>120</x:v>
      </x:c>
      <x:c r="M6" s="11"/>
      <x:c r="N6" s="17" t="n">
        <x:v>75</x:v>
      </x:c>
      <x:c r="O6" s="17" t="n">
        <x:v>0.8</x:v>
      </x:c>
      <x:c r="P6" s="11"/>
      <x:c r="Q6" s="9" t="str">
        <x:v>一般差错</x:v>
      </x:c>
      <x:c r="R6" s="23" t="n">
        <x:v>20</x:v>
      </x:c>
    </x:row>
    <x:row r="7" ht="24" customHeight="1">
      <x:c r="A7" s="1" t="str">
        <x:v>技术客服</x:v>
      </x:c>
      <x:c r="B7" s="22" t="n">
        <x:v>500</x:v>
      </x:c>
      <x:c r="C7" s="22" t="n">
        <x:v>1400</x:v>
      </x:c>
      <x:c r="D7" s="11"/>
      <x:c r="E7" s="1" t="str">
        <x:v>外包</x:v>
      </x:c>
      <x:c r="F7" s="16" t="n">
        <x:v>0</x:v>
      </x:c>
      <x:c r="G7" s="11"/>
      <x:c r="H7" s="1" t="str">
        <x:v>紧急</x:v>
      </x:c>
      <x:c r="I7" s="16" t="n">
        <x:v>2</x:v>
      </x:c>
      <x:c r="J7" s="11"/>
      <x:c r="K7" s="1" t="str">
        <x:v>技术</x:v>
      </x:c>
      <x:c r="L7" s="16" t="n">
        <x:v>240</x:v>
      </x:c>
      <x:c r="M7" s="11"/>
      <x:c r="N7" s="16" t="n">
        <x:v>85</x:v>
      </x:c>
      <x:c r="O7" s="16" t="n">
        <x:v>1</x:v>
      </x:c>
      <x:c r="P7" s="11"/>
      <x:c r="Q7" s="1" t="str">
        <x:v>严重差错</x:v>
      </x:c>
      <x:c r="R7" s="22" t="n">
        <x:v>100</x:v>
      </x:c>
    </x:row>
    <x:row r="8" ht="24" customHeight="1">
      <x:c r="A8" s="9"/>
      <x:c r="B8" s="9"/>
      <x:c r="C8" s="9"/>
      <x:c r="D8" s="11"/>
      <x:c r="E8" s="9"/>
      <x:c r="F8" s="9"/>
      <x:c r="G8" s="11"/>
      <x:c r="H8" s="9"/>
      <x:c r="I8" s="9"/>
      <x:c r="J8" s="11"/>
      <x:c r="K8" s="9"/>
      <x:c r="L8" s="9"/>
      <x:c r="M8" s="11"/>
      <x:c r="N8" s="17" t="n">
        <x:v>95</x:v>
      </x:c>
      <x:c r="O8" s="17" t="n">
        <x:v>1.1</x:v>
      </x:c>
      <x:c r="P8" s="11"/>
      <x:c r="Q8" s="9"/>
      <x:c r="R8" s="9"/>
    </x:row>
    <x:row r="9" ht="24" customHeight="1">
      <x:c r="A9" s="1"/>
      <x:c r="B9" s="1"/>
      <x:c r="C9" s="1"/>
      <x:c r="D9" s="11"/>
      <x:c r="E9" s="1"/>
      <x:c r="F9" s="1"/>
      <x:c r="G9" s="11"/>
      <x:c r="H9" s="1"/>
      <x:c r="I9" s="1"/>
      <x:c r="J9" s="11"/>
      <x:c r="K9" s="1"/>
      <x:c r="L9" s="1"/>
      <x:c r="M9" s="11"/>
      <x:c r="N9" s="1"/>
      <x:c r="O9" s="1"/>
      <x:c r="P9" s="11"/>
      <x:c r="Q9" s="1"/>
      <x:c r="R9" s="1"/>
    </x:row>
    <x:row r="10" ht="24" customHeight="1">
      <x:c r="A10" s="9"/>
      <x:c r="B10" s="9"/>
      <x:c r="C10" s="9"/>
      <x:c r="D10" s="11"/>
      <x:c r="E10" s="9"/>
      <x:c r="F10" s="9"/>
      <x:c r="G10" s="11"/>
      <x:c r="H10" s="9"/>
      <x:c r="I10" s="9"/>
      <x:c r="J10" s="11"/>
      <x:c r="K10" s="9"/>
      <x:c r="L10" s="9"/>
      <x:c r="M10" s="11"/>
      <x:c r="N10" s="9"/>
      <x:c r="O10" s="9"/>
      <x:c r="P10" s="11"/>
      <x:c r="Q10" s="9"/>
      <x:c r="R10" s="9"/>
    </x:row>
    <x:row r="11" ht="24" customHeight="1">
      <x:c r="A11" s="1"/>
      <x:c r="B11" s="1"/>
      <x:c r="C11" s="1"/>
      <x:c r="D11" s="11"/>
      <x:c r="E11" s="1"/>
      <x:c r="F11" s="1"/>
      <x:c r="G11" s="11"/>
      <x:c r="H11" s="1"/>
      <x:c r="I11" s="1"/>
      <x:c r="J11" s="11"/>
      <x:c r="K11" s="1"/>
      <x:c r="L11" s="1"/>
      <x:c r="M11" s="11"/>
      <x:c r="N11" s="1"/>
      <x:c r="O11" s="1"/>
      <x:c r="P11" s="11"/>
      <x:c r="Q11" s="1"/>
      <x:c r="R11" s="1"/>
    </x:row>
    <x:row r="12" ht="28" customHeight="1">
      <x:c r="A12" s="5" t="str">
        <x:v>全局参数</x:v>
      </x:c>
      <x:c r="B12" s="5" t="str">
        <x:v>取值</x:v>
      </x:c>
      <x:c r="C12" s="5" t="str">
        <x:v>口径</x:v>
      </x:c>
      <x:c r="D12" s="11"/>
      <x:c r="E12" s="9"/>
      <x:c r="F12" s="9"/>
      <x:c r="G12" s="11"/>
      <x:c r="H12" s="9"/>
      <x:c r="I12" s="9"/>
      <x:c r="J12" s="11"/>
      <x:c r="K12" s="9"/>
      <x:c r="L12" s="9"/>
      <x:c r="M12" s="11"/>
      <x:c r="N12" s="9"/>
      <x:c r="O12" s="9"/>
      <x:c r="P12" s="11"/>
      <x:c r="Q12" s="9"/>
      <x:c r="R12" s="9"/>
    </x:row>
    <x:row r="13" ht="24" customHeight="1">
      <x:c r="A13" s="1" t="str">
        <x:v>周期起日</x:v>
      </x:c>
      <x:c r="B13" s="18" t="n">
        <x:v>46266</x:v>
      </x:c>
      <x:c r="C13" s="1" t="str">
        <x:v>包含当日</x:v>
      </x:c>
      <x:c r="D13" s="11"/>
      <x:c r="E13" s="1"/>
      <x:c r="F13" s="1"/>
      <x:c r="G13" s="11"/>
      <x:c r="H13" s="1"/>
      <x:c r="I13" s="1"/>
      <x:c r="J13" s="11"/>
      <x:c r="K13" s="1"/>
      <x:c r="L13" s="1"/>
      <x:c r="M13" s="11"/>
      <x:c r="N13" s="1"/>
      <x:c r="O13" s="1"/>
      <x:c r="P13" s="11"/>
      <x:c r="Q13" s="1"/>
      <x:c r="R13" s="1"/>
    </x:row>
    <x:row r="14" ht="24" customHeight="1">
      <x:c r="A14" s="9" t="str">
        <x:v>周期止日</x:v>
      </x:c>
      <x:c r="B14" s="19" t="n">
        <x:v>46295</x:v>
      </x:c>
      <x:c r="C14" s="9" t="str">
        <x:v>包含当日</x:v>
      </x:c>
      <x:c r="D14" s="11"/>
      <x:c r="E14" s="9"/>
      <x:c r="F14" s="9"/>
      <x:c r="G14" s="11"/>
      <x:c r="H14" s="9"/>
      <x:c r="I14" s="9"/>
      <x:c r="J14" s="11"/>
      <x:c r="K14" s="9"/>
      <x:c r="L14" s="9"/>
      <x:c r="M14" s="11"/>
      <x:c r="N14" s="9"/>
      <x:c r="O14" s="9"/>
      <x:c r="P14" s="11"/>
      <x:c r="Q14" s="9"/>
      <x:c r="R14" s="9"/>
    </x:row>
    <x:row r="15" ht="24" customHeight="1">
      <x:c r="A15" s="1" t="str">
        <x:v>第一段单量上限</x:v>
      </x:c>
      <x:c r="B15" s="20" t="n">
        <x:v>5</x:v>
      </x:c>
      <x:c r="C15" s="1" t="str">
        <x:v>第1至5单</x:v>
      </x:c>
      <x:c r="D15" s="11"/>
      <x:c r="E15" s="1"/>
      <x:c r="F15" s="1"/>
      <x:c r="G15" s="11"/>
      <x:c r="H15" s="1"/>
      <x:c r="I15" s="1"/>
      <x:c r="J15" s="11"/>
      <x:c r="K15" s="1"/>
      <x:c r="L15" s="1"/>
      <x:c r="M15" s="11"/>
      <x:c r="N15" s="1"/>
      <x:c r="O15" s="1"/>
      <x:c r="P15" s="11"/>
      <x:c r="Q15" s="1"/>
      <x:c r="R15" s="1"/>
    </x:row>
    <x:row r="16" ht="24" customHeight="1">
      <x:c r="A16" s="9" t="str">
        <x:v>第二段单量上限</x:v>
      </x:c>
      <x:c r="B16" s="21" t="n">
        <x:v>10</x:v>
      </x:c>
      <x:c r="C16" s="9" t="str">
        <x:v>第6至10单</x:v>
      </x:c>
      <x:c r="D16" s="11"/>
      <x:c r="E16" s="9"/>
      <x:c r="F16" s="9"/>
      <x:c r="G16" s="11"/>
      <x:c r="H16" s="9"/>
      <x:c r="I16" s="9"/>
      <x:c r="J16" s="11"/>
      <x:c r="K16" s="9"/>
      <x:c r="L16" s="9"/>
      <x:c r="M16" s="11"/>
      <x:c r="N16" s="9"/>
      <x:c r="O16" s="9"/>
      <x:c r="P16" s="11"/>
      <x:c r="Q16" s="9"/>
      <x:c r="R16" s="9"/>
    </x:row>
    <x:row r="17" ht="24" customHeight="1">
      <x:c r="A17" s="1" t="str">
        <x:v>第一段每单金额</x:v>
      </x:c>
      <x:c r="B17" s="20" t="n">
        <x:v>25</x:v>
      </x:c>
      <x:c r="C17" s="1" t="str">
        <x:v>元</x:v>
      </x:c>
      <x:c r="D17" s="11"/>
      <x:c r="E17" s="1"/>
      <x:c r="F17" s="1"/>
      <x:c r="G17" s="11"/>
      <x:c r="H17" s="1"/>
      <x:c r="I17" s="1"/>
      <x:c r="J17" s="11"/>
      <x:c r="K17" s="1"/>
      <x:c r="L17" s="1"/>
      <x:c r="M17" s="11"/>
      <x:c r="N17" s="1"/>
      <x:c r="O17" s="1"/>
      <x:c r="P17" s="11"/>
      <x:c r="Q17" s="1"/>
      <x:c r="R17" s="1"/>
    </x:row>
    <x:row r="18" ht="24" customHeight="1">
      <x:c r="A18" s="9" t="str">
        <x:v>第二段每单金额</x:v>
      </x:c>
      <x:c r="B18" s="21" t="n">
        <x:v>35</x:v>
      </x:c>
      <x:c r="C18" s="9" t="str">
        <x:v>元</x:v>
      </x:c>
      <x:c r="D18" s="11"/>
      <x:c r="E18" s="9"/>
      <x:c r="F18" s="9"/>
      <x:c r="G18" s="11"/>
      <x:c r="H18" s="9"/>
      <x:c r="I18" s="9"/>
      <x:c r="J18" s="11"/>
      <x:c r="K18" s="9"/>
      <x:c r="L18" s="9"/>
      <x:c r="M18" s="11"/>
      <x:c r="N18" s="9"/>
      <x:c r="O18" s="9"/>
      <x:c r="P18" s="11"/>
      <x:c r="Q18" s="9"/>
      <x:c r="R18" s="9"/>
    </x:row>
    <x:row r="19" ht="24" customHeight="1">
      <x:c r="A19" s="1" t="str">
        <x:v>第三段每单金额</x:v>
      </x:c>
      <x:c r="B19" s="20" t="n">
        <x:v>50</x:v>
      </x:c>
      <x:c r="C19" s="1" t="str">
        <x:v>元</x:v>
      </x:c>
      <x:c r="D19" s="11"/>
      <x:c r="E19" s="1"/>
      <x:c r="F19" s="1"/>
      <x:c r="G19" s="11"/>
      <x:c r="H19" s="1"/>
      <x:c r="I19" s="1"/>
      <x:c r="J19" s="11"/>
      <x:c r="K19" s="1"/>
      <x:c r="L19" s="1"/>
      <x:c r="M19" s="11"/>
      <x:c r="N19" s="1"/>
      <x:c r="O19" s="1"/>
      <x:c r="P19" s="11"/>
      <x:c r="Q19" s="1"/>
      <x:c r="R19" s="1"/>
    </x:row>
    <x:row r="20" ht="24" customHeight="1">
      <x:c r="A20" s="9" t="str">
        <x:v>每次返工扣减</x:v>
      </x:c>
      <x:c r="B20" s="21" t="n">
        <x:v>8</x:v>
      </x:c>
      <x:c r="C20" s="9" t="str">
        <x:v>元，仅有效工单</x:v>
      </x:c>
      <x:c r="D20" s="11"/>
      <x:c r="E20" s="9"/>
      <x:c r="F20" s="9"/>
      <x:c r="G20" s="11"/>
      <x:c r="H20" s="9"/>
      <x:c r="I20" s="9"/>
      <x:c r="J20" s="11"/>
      <x:c r="K20" s="9"/>
      <x:c r="L20" s="9"/>
      <x:c r="M20" s="11"/>
      <x:c r="N20" s="9"/>
      <x:c r="O20" s="9"/>
      <x:c r="P20" s="11"/>
      <x:c r="Q20" s="9"/>
      <x:c r="R20" s="9"/>
    </x:row>
    <x:row r="21" ht="24" customHeight="1">
      <x:c r="A21" s="1" t="str">
        <x:v>标准内时效系数</x:v>
      </x:c>
      <x:c r="B21" s="20" t="n">
        <x:v>1.1</x:v>
      </x:c>
      <x:c r="C21" s="1" t="str">
        <x:v>耗时不超过标准</x:v>
      </x:c>
      <x:c r="D21" s="11"/>
      <x:c r="E21" s="1"/>
      <x:c r="F21" s="1"/>
      <x:c r="G21" s="11"/>
      <x:c r="H21" s="1"/>
      <x:c r="I21" s="1"/>
      <x:c r="J21" s="11"/>
      <x:c r="K21" s="1"/>
      <x:c r="L21" s="1"/>
      <x:c r="M21" s="11"/>
      <x:c r="N21" s="1"/>
      <x:c r="O21" s="1"/>
      <x:c r="P21" s="11"/>
      <x:c r="Q21" s="1"/>
      <x:c r="R21" s="1"/>
    </x:row>
    <x:row r="22" ht="24" customHeight="1">
      <x:c r="A22" s="9" t="str">
        <x:v>两倍内时效系数</x:v>
      </x:c>
      <x:c r="B22" s="21" t="n">
        <x:v>0.8</x:v>
      </x:c>
      <x:c r="C22" s="9" t="str">
        <x:v>超过标准但不超过2倍</x:v>
      </x:c>
      <x:c r="D22" s="11"/>
      <x:c r="E22" s="9"/>
      <x:c r="F22" s="9"/>
      <x:c r="G22" s="11"/>
      <x:c r="H22" s="9"/>
      <x:c r="I22" s="9"/>
      <x:c r="J22" s="11"/>
      <x:c r="K22" s="9"/>
      <x:c r="L22" s="9"/>
      <x:c r="M22" s="11"/>
      <x:c r="N22" s="9"/>
      <x:c r="O22" s="9"/>
      <x:c r="P22" s="11"/>
      <x:c r="Q22" s="9"/>
      <x:c r="R22" s="9"/>
    </x:row>
    <x:row r="23" ht="24" customHeight="1">
      <x:c r="A23" s="1" t="str">
        <x:v>两倍外时效系数</x:v>
      </x:c>
      <x:c r="B23" s="20" t="n">
        <x:v>0.5</x:v>
      </x:c>
      <x:c r="C23" s="1" t="str">
        <x:v>超过2倍标准</x:v>
      </x:c>
      <x:c r="D23" s="11"/>
      <x:c r="E23" s="1"/>
      <x:c r="F23" s="1"/>
      <x:c r="G23" s="11"/>
      <x:c r="H23" s="1"/>
      <x:c r="I23" s="1"/>
      <x:c r="J23" s="11"/>
      <x:c r="K23" s="1"/>
      <x:c r="L23" s="1"/>
      <x:c r="M23" s="11"/>
      <x:c r="N23" s="1"/>
      <x:c r="O23" s="1"/>
      <x:c r="P23" s="11"/>
      <x:c r="Q23" s="1"/>
      <x:c r="R23" s="1"/>
    </x:row>
    <x:row r="24" ht="24" customHeight="1">
      <x:c r="A24" s="9" t="str">
        <x:v>时效第二档倍数</x:v>
      </x:c>
      <x:c r="B24" s="21" t="n">
        <x:v>2</x:v>
      </x:c>
      <x:c r="C24" s="9" t="str">
        <x:v>上界包含</x:v>
      </x:c>
      <x:c r="D24" s="11"/>
      <x:c r="E24" s="9"/>
      <x:c r="F24" s="9"/>
      <x:c r="G24" s="11"/>
      <x:c r="H24" s="9"/>
      <x:c r="I24" s="9"/>
      <x:c r="J24" s="11"/>
      <x:c r="K24" s="9"/>
      <x:c r="L24" s="9"/>
      <x:c r="M24" s="11"/>
      <x:c r="N24" s="9"/>
      <x:c r="O24" s="9"/>
      <x:c r="P24" s="11"/>
      <x:c r="Q24" s="9"/>
      <x:c r="R24" s="9"/>
    </x:row>
    <x:row r="25" ht="24" customHeight="1">
      <x:c r="A25" s="1"/>
      <x:c r="B25" s="1"/>
      <x:c r="C25" s="1"/>
      <x:c r="D25" s="11"/>
      <x:c r="E25" s="1"/>
      <x:c r="F25" s="1"/>
      <x:c r="G25" s="11"/>
      <x:c r="H25" s="1"/>
      <x:c r="I25" s="1"/>
      <x:c r="J25" s="11"/>
      <x:c r="K25" s="1"/>
      <x:c r="L25" s="1"/>
      <x:c r="M25" s="11"/>
      <x:c r="N25" s="1"/>
      <x:c r="O25" s="1"/>
      <x:c r="P25" s="11"/>
      <x:c r="Q25" s="1"/>
      <x:c r="R25" s="1"/>
    </x:row>
    <x:row r="26" ht="24" customHeight="1">
      <x:c r="A26" s="9"/>
      <x:c r="B26" s="9"/>
      <x:c r="C26" s="9"/>
      <x:c r="D26" s="11"/>
      <x:c r="E26" s="9"/>
      <x:c r="F26" s="9"/>
      <x:c r="G26" s="11"/>
      <x:c r="H26" s="9"/>
      <x:c r="I26" s="9"/>
      <x:c r="J26" s="11"/>
      <x:c r="K26" s="9"/>
      <x:c r="L26" s="9"/>
      <x:c r="M26" s="11"/>
      <x:c r="N26" s="9"/>
      <x:c r="O26" s="9"/>
      <x:c r="P26" s="11"/>
      <x:c r="Q26" s="9"/>
      <x:c r="R26" s="9"/>
    </x:row>
    <x:row r="27" ht="24" customHeight="1">
      <x:c r="A27" s="1"/>
      <x:c r="B27" s="1"/>
      <x:c r="C27" s="1"/>
      <x:c r="D27" s="11"/>
      <x:c r="E27" s="1"/>
      <x:c r="F27" s="1"/>
      <x:c r="G27" s="11"/>
      <x:c r="H27" s="1"/>
      <x:c r="I27" s="1"/>
      <x:c r="J27" s="11"/>
      <x:c r="K27" s="1"/>
      <x:c r="L27" s="1"/>
      <x:c r="M27" s="11"/>
      <x:c r="N27" s="1"/>
      <x:c r="O27" s="1"/>
      <x:c r="P27" s="11"/>
      <x:c r="Q27" s="1"/>
      <x:c r="R27" s="1"/>
    </x:row>
    <x:row r="28" ht="24" customHeight="1">
      <x:c r="A28" s="9"/>
      <x:c r="B28" s="9"/>
      <x:c r="C28" s="9"/>
      <x:c r="D28" s="11"/>
      <x:c r="E28" s="9"/>
      <x:c r="F28" s="9"/>
      <x:c r="G28" s="11"/>
      <x:c r="H28" s="9"/>
      <x:c r="I28" s="9"/>
      <x:c r="J28" s="11"/>
      <x:c r="K28" s="9"/>
      <x:c r="L28" s="9"/>
      <x:c r="M28" s="11"/>
      <x:c r="N28" s="9"/>
      <x:c r="O28" s="9"/>
      <x:c r="P28" s="11"/>
      <x:c r="Q28" s="9"/>
      <x:c r="R28" s="9"/>
    </x:row>
    <x:row r="29" ht="24" customHeight="1">
      <x:c r="A29" s="1"/>
      <x:c r="B29" s="1"/>
      <x:c r="C29" s="1"/>
      <x:c r="D29" s="11"/>
      <x:c r="E29" s="1"/>
      <x:c r="F29" s="1"/>
      <x:c r="G29" s="11"/>
      <x:c r="H29" s="1"/>
      <x:c r="I29" s="1"/>
      <x:c r="J29" s="11"/>
      <x:c r="K29" s="1"/>
      <x:c r="L29" s="1"/>
      <x:c r="M29" s="11"/>
      <x:c r="N29" s="1"/>
      <x:c r="O29" s="1"/>
      <x:c r="P29" s="11"/>
      <x:c r="Q29" s="1"/>
      <x:c r="R29" s="1"/>
    </x:row>
  </x:sheetData>
  <x:pageMargins left="0.7" right="0.7" top="0.75" bottom="0.75" header="0.3" footer="0.3"/>
</x:worksheet>
</file>