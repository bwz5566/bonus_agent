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3872fa4cba41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人员结果" sheetId="1" r:id="R14580177830d44f5"/>
    <x:sheet xmlns:r="http://schemas.openxmlformats.org/officeDocument/2006/relationships" name="订单过程" sheetId="2" r:id="Rfdd163027ef74e4f"/>
    <x:sheet xmlns:r="http://schemas.openxmlformats.org/officeDocument/2006/relationships" name="原始数据" sheetId="3" r:id="Rab77faf521ea49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.0"/>
    <x:numFmt numFmtId="202" formatCode="0.0%"/>
    <x:numFmt numFmtId="203" formatCode="#,##0.00"/>
    <x:numFmt numFmtId="204" formatCode="yyyy-mm-dd"/>
  </x:numFmts>
  <x:fonts count="6">
    <x:font>
      <x:sz val="11"/>
      <x:name val="Carlito"/>
    </x:font>
    <x:font>
      <x:b/>
      <x:sz val="14"/>
      <x:name val="Noto Sans CJK SC"/>
    </x:font>
    <x:font>
      <x:sz val="11"/>
      <x:color rgb="FF243247"/>
      <x:name val="Noto Sans CJK SC"/>
    </x:font>
    <x:font>
      <x:b/>
      <x:sz val="11"/>
      <x:color rgb="FFFFFFFF"/>
      <x:name val="Noto Sans CJK SC"/>
    </x:font>
    <x:font>
      <x:sz val="15"/>
      <x:color rgb="FF243247"/>
      <x:name val="Noto Sans CJK SC"/>
    </x:font>
    <x:font>
      <x:b/>
      <x:sz val="11"/>
      <x:color rgb="FF243247"/>
      <x:name val="Noto Sans CJK SC"/>
    </x:font>
  </x:fonts>
  <x:fills count="4">
    <x:fill>
      <x:patternFill patternType="none"/>
    </x:fill>
    <x:fill>
      <x:patternFill patternType="gray125"/>
    </x:fill>
    <x:fill>
      <x:patternFill patternType="solid">
        <x:fgColor rgb="FF25476A"/>
      </x:patternFill>
    </x:fill>
    <x:fill>
      <x:patternFill patternType="solid">
        <x:fgColor rgb="FFEAF1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204" fontId="2" fillId="0" borderId="0" xfId="0" applyNumberFormat="1" applyFont="1" applyFill="1" applyBorder="1"/>
    <x:xf numFmtId="203" fontId="2" fillId="3" borderId="0" xfId="0" applyNumberFormat="1" applyFont="1" applyFill="1" applyBorder="1" applyAlignment="1">
      <x:alignment vertical="center"/>
    </x:xf>
    <x:xf numFmtId="203" fontId="5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8B5300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b9319e896d4918" /><Relationship Type="http://schemas.openxmlformats.org/officeDocument/2006/relationships/theme" Target="/xl/theme/theme1.xml" Id="Rc60c2c9815de4bad" /><Relationship Type="http://schemas.openxmlformats.org/officeDocument/2006/relationships/sharedStrings" Target="/xl/sharedStrings.xml" Id="R65cbd62440d44f9b" /><Relationship Type="http://schemas.openxmlformats.org/officeDocument/2006/relationships/worksheet" Target="/xl/worksheets/sheet1.xml" Id="R14580177830d44f5" /><Relationship Type="http://schemas.openxmlformats.org/officeDocument/2006/relationships/worksheet" Target="/xl/worksheets/sheet2.xml" Id="Rfdd163027ef74e4f" /><Relationship Type="http://schemas.openxmlformats.org/officeDocument/2006/relationships/worksheet" Target="/xl/worksheets/sheet3.xml" Id="Rab77faf521ea49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2" ht="25" customHeight="1">
      <x:c r="A2" s="12" t="str">
        <x:v>2026年9月个人提成期望结果（元）</x:v>
      </x:c>
      <x:c r="B2" s="3"/>
      <x:c r="C2" s="3"/>
      <x:c r="D2" s="3"/>
      <x:c r="E2" s="3"/>
      <x:c r="F2" s="3"/>
      <x:c r="G2" s="3"/>
      <x:c r="H2" s="3"/>
    </x:row>
    <x:row r="3" ht="25" customHeight="1">
      <x:c r="A3" s="3"/>
      <x:c r="B3" s="3"/>
      <x:c r="C3" s="3"/>
      <x:c r="D3" s="3"/>
      <x:c r="E3" s="3"/>
      <x:c r="F3" s="3"/>
      <x:c r="G3" s="3"/>
      <x:c r="H3" s="3"/>
    </x:row>
    <x:row r="4" ht="30" customHeight="1">
      <x:c r="A4" s="6" t="str">
        <x:v>员工编号</x:v>
      </x:c>
      <x:c r="B4" s="6" t="str">
        <x:v>姓名</x:v>
      </x:c>
      <x:c r="C4" s="6" t="str">
        <x:v>订单提成合计</x:v>
      </x:c>
      <x:c r="D4" s="6" t="str">
        <x:v>计奖系数</x:v>
      </x:c>
      <x:c r="E4" s="6" t="str">
        <x:v>应得提成</x:v>
      </x:c>
      <x:c r="F4" s="6" t="str">
        <x:v>预发合计</x:v>
      </x:c>
      <x:c r="G4" s="6" t="str">
        <x:v>本次实发</x:v>
      </x:c>
      <x:c r="H4" s="6" t="str">
        <x:v>超预发登记</x:v>
      </x:c>
    </x:row>
    <x:row r="5" ht="25" customHeight="1">
      <x:c r="A5" s="7" t="str">
        <x:f>'原始数据'!A5</x:f>
        <x:v>001</x:v>
      </x:c>
      <x:c r="B5" s="3" t="str">
        <x:f>'原始数据'!B5</x:f>
        <x:v>林晨</x:v>
      </x:c>
      <x:c r="C5" s="10" t="n">
        <x:f>SUMIFS('订单过程'!$H$5:$H$10,'订单过程'!$B$5:$B$10,A5)</x:f>
        <x:v>400.01</x:v>
      </x:c>
      <x:c r="D5" s="8" t="n">
        <x:f>INDEX('原始数据'!$C$5:$C$8,MATCH(A5,'原始数据'!$A$5:$A$8,0))</x:f>
        <x:v>1</x:v>
      </x:c>
      <x:c r="E5" s="10" t="n">
        <x:f>ROUND(C5*D5,2)</x:f>
        <x:v>400.01</x:v>
      </x:c>
      <x:c r="F5" s="10" t="n">
        <x:f>SUMIFS('原始数据'!$C$22:$C$24,'原始数据'!$B$22:$B$24,A5)</x:f>
        <x:v>150</x:v>
      </x:c>
      <x:c r="G5" s="17" t="n">
        <x:f>MAX(E5-F5,0)</x:f>
        <x:v>250.01</x:v>
      </x:c>
      <x:c r="H5" s="10" t="n">
        <x:f>MAX(F5-E5,0)</x:f>
        <x:v>0</x:v>
      </x:c>
    </x:row>
    <x:row r="6" ht="25" customHeight="1">
      <x:c r="A6" s="7" t="str">
        <x:f>'原始数据'!A6</x:f>
        <x:v>002</x:v>
      </x:c>
      <x:c r="B6" s="3" t="str">
        <x:f>'原始数据'!B6</x:f>
        <x:v>周宁</x:v>
      </x:c>
      <x:c r="C6" s="10" t="n">
        <x:f>SUMIFS('订单过程'!$H$5:$H$10,'订单过程'!$B$5:$B$10,A6)</x:f>
        <x:v>170</x:v>
      </x:c>
      <x:c r="D6" s="8" t="n">
        <x:f>INDEX('原始数据'!$C$5:$C$8,MATCH(A6,'原始数据'!$A$5:$A$8,0))</x:f>
        <x:v>0.8</x:v>
      </x:c>
      <x:c r="E6" s="10" t="n">
        <x:f>ROUND(C6*D6,2)</x:f>
        <x:v>136</x:v>
      </x:c>
      <x:c r="F6" s="10" t="n">
        <x:f>SUMIFS('原始数据'!$C$22:$C$24,'原始数据'!$B$22:$B$24,A6)</x:f>
        <x:v>150</x:v>
      </x:c>
      <x:c r="G6" s="17" t="n">
        <x:f>MAX(E6-F6,0)</x:f>
        <x:v>0</x:v>
      </x:c>
      <x:c r="H6" s="10" t="n">
        <x:f>MAX(F6-E6,0)</x:f>
        <x:v>14</x:v>
      </x:c>
    </x:row>
    <x:row r="7" ht="25" customHeight="1">
      <x:c r="A7" s="7" t="str">
        <x:f>'原始数据'!A7</x:f>
        <x:v>003</x:v>
      </x:c>
      <x:c r="B7" s="3" t="str">
        <x:f>'原始数据'!B7</x:f>
        <x:v>林晨</x:v>
      </x:c>
      <x:c r="C7" s="10" t="n">
        <x:f>SUMIFS('订单过程'!$H$5:$H$10,'订单过程'!$B$5:$B$10,A7)</x:f>
        <x:v>125</x:v>
      </x:c>
      <x:c r="D7" s="8" t="n">
        <x:f>INDEX('原始数据'!$C$5:$C$8,MATCH(A7,'原始数据'!$A$5:$A$8,0))</x:f>
        <x:v>1</x:v>
      </x:c>
      <x:c r="E7" s="10" t="n">
        <x:f>ROUND(C7*D7,2)</x:f>
        <x:v>125</x:v>
      </x:c>
      <x:c r="F7" s="10" t="n">
        <x:f>SUMIFS('原始数据'!$C$22:$C$24,'原始数据'!$B$22:$B$24,A7)</x:f>
        <x:v>0</x:v>
      </x:c>
      <x:c r="G7" s="17" t="n">
        <x:f>MAX(E7-F7,0)</x:f>
        <x:v>125</x:v>
      </x:c>
      <x:c r="H7" s="10" t="n">
        <x:f>MAX(F7-E7,0)</x:f>
        <x:v>0</x:v>
      </x:c>
    </x:row>
    <x:row r="8" ht="25" customHeight="1">
      <x:c r="A8" s="7" t="str">
        <x:f>'原始数据'!A8</x:f>
        <x:v>004</x:v>
      </x:c>
      <x:c r="B8" s="3" t="str">
        <x:f>'原始数据'!B8</x:f>
        <x:v>许安</x:v>
      </x:c>
      <x:c r="C8" s="10" t="n">
        <x:f>SUMIFS('订单过程'!$H$5:$H$10,'订单过程'!$B$5:$B$10,A8)</x:f>
        <x:v>0</x:v>
      </x:c>
      <x:c r="D8" s="8" t="n">
        <x:f>INDEX('原始数据'!$C$5:$C$8,MATCH(A8,'原始数据'!$A$5:$A$8,0))</x:f>
        <x:v>1</x:v>
      </x:c>
      <x:c r="E8" s="10" t="n">
        <x:f>ROUND(C8*D8,2)</x:f>
        <x:v>0</x:v>
      </x:c>
      <x:c r="F8" s="10" t="n">
        <x:f>SUMIFS('原始数据'!$C$22:$C$24,'原始数据'!$B$22:$B$24,A8)</x:f>
        <x:v>0</x:v>
      </x:c>
      <x:c r="G8" s="17" t="n">
        <x:f>MAX(E8-F8,0)</x:f>
        <x:v>0</x:v>
      </x:c>
      <x:c r="H8" s="10" t="n">
        <x:f>MAX(F8-E8,0)</x:f>
        <x:v>0</x:v>
      </x:c>
    </x:row>
    <x:row r="9" ht="25" customHeight="1">
      <x:c r="A9" s="13" t="str">
        <x:v>合计</x:v>
      </x:c>
      <x:c r="B9" s="13"/>
      <x:c r="C9" s="14" t="n">
        <x:f>SUM(C5:C8)</x:f>
        <x:v>695.01</x:v>
      </x:c>
      <x:c r="D9" s="13"/>
      <x:c r="E9" s="14" t="n">
        <x:f>SUM(E5:E8)</x:f>
        <x:v>661.01</x:v>
      </x:c>
      <x:c r="F9" s="14" t="n">
        <x:f>SUM(F5:F8)</x:f>
        <x:v>300</x:v>
      </x:c>
      <x:c r="G9" s="18" t="n">
        <x:f>SUM(G5:G8)</x:f>
        <x:v>375.01</x:v>
      </x:c>
      <x:c r="H9" s="14" t="n">
        <x:f>SUM(H5:H8)</x:f>
        <x:v>14</x:v>
      </x:c>
    </x:row>
    <x:row r="10" ht="25" customHeight="1">
      <x:c r="A10" s="3"/>
      <x:c r="B10" s="3"/>
      <x:c r="C10" s="3"/>
      <x:c r="D10" s="3"/>
      <x:c r="E10" s="3"/>
      <x:c r="F10" s="3"/>
      <x:c r="G10" s="3"/>
      <x:c r="H10" s="3"/>
    </x:row>
    <x:row r="11" ht="25" customHeight="1">
      <x:c r="A11" s="3"/>
      <x:c r="B11" s="3"/>
      <x:c r="C11" s="3"/>
      <x:c r="D11" s="3"/>
      <x:c r="E11" s="3"/>
      <x:c r="F11" s="3"/>
      <x:c r="G11" s="3"/>
      <x:c r="H11" s="3"/>
    </x:row>
    <x:row r="12" ht="25" customHeight="1">
      <x:c r="A12" s="3" t="str">
        <x:v>回款起日</x:v>
      </x:c>
      <x:c r="B12" s="11" t="d">
        <x:v>2026-09-01T00:00:00.000Z</x:v>
      </x:c>
      <x:c r="C12" s="3"/>
      <x:c r="D12" s="3"/>
      <x:c r="E12" s="3"/>
      <x:c r="F12" s="3"/>
      <x:c r="G12" s="3"/>
      <x:c r="H12" s="3"/>
    </x:row>
    <x:row r="13" ht="25" customHeight="1">
      <x:c r="A13" s="3" t="str">
        <x:v>回款止日（不含）</x:v>
      </x:c>
      <x:c r="B13" s="11" t="d">
        <x:v>2026-10-01T00:00:00.000Z</x:v>
      </x:c>
      <x:c r="C13" s="3"/>
      <x:c r="D13" s="3"/>
      <x:c r="E13" s="3"/>
      <x:c r="F13" s="3"/>
      <x:c r="G13" s="3"/>
      <x:c r="H13" s="3"/>
    </x:row>
  </x:sheetData>
  <x:conditionalFormatting sqref="H5:H8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2" ht="25" customHeight="1">
      <x:c r="A2" s="12" t="str">
        <x:v>订单提成计算（元）</x:v>
      </x:c>
      <x:c r="B2" s="3"/>
      <x:c r="C2" s="3"/>
      <x:c r="D2" s="3"/>
      <x:c r="E2" s="3"/>
      <x:c r="F2" s="3"/>
      <x:c r="G2" s="3"/>
      <x:c r="H2" s="3"/>
    </x:row>
    <x:row r="3" ht="25" customHeight="1">
      <x:c r="A3" s="3"/>
      <x:c r="B3" s="3"/>
      <x:c r="C3" s="3"/>
      <x:c r="D3" s="3"/>
      <x:c r="E3" s="3"/>
      <x:c r="F3" s="3"/>
      <x:c r="G3" s="3"/>
      <x:c r="H3" s="3"/>
    </x:row>
    <x:row r="4" ht="30" customHeight="1">
      <x:c r="A4" s="6" t="str">
        <x:v>订单号</x:v>
      </x:c>
      <x:c r="B4" s="6" t="str">
        <x:v>员工编号</x:v>
      </x:c>
      <x:c r="C4" s="6" t="str">
        <x:v>品类编码</x:v>
      </x:c>
      <x:c r="D4" s="6" t="str">
        <x:v>合同额</x:v>
      </x:c>
      <x:c r="E4" s="6" t="str">
        <x:v>审批净回款</x:v>
      </x:c>
      <x:c r="F4" s="6" t="str">
        <x:v>计提基数</x:v>
      </x:c>
      <x:c r="G4" s="6" t="str">
        <x:v>提成率</x:v>
      </x:c>
      <x:c r="H4" s="6" t="str">
        <x:v>订单提成</x:v>
      </x:c>
    </x:row>
    <x:row r="5" ht="25" customHeight="1">
      <x:c r="A5" s="7" t="str">
        <x:f>'原始数据'!A30</x:f>
        <x:v>O101</x:v>
      </x:c>
      <x:c r="B5" s="7" t="str">
        <x:f>'原始数据'!B30</x:f>
        <x:v>001</x:v>
      </x:c>
      <x:c r="C5" s="7" t="str">
        <x:f>'原始数据'!C30</x:f>
        <x:v>01</x:v>
      </x:c>
      <x:c r="D5" s="10" t="n">
        <x:f>'原始数据'!D30</x:f>
        <x:v>10000</x:v>
      </x:c>
      <x:c r="E5" s="10" t="n">
        <x:f>SUMIFS('原始数据'!$E$41:$E$52,'原始数据'!$B$41:$B$52,A5,'原始数据'!$D$41:$D$52,"已审批",'原始数据'!$C$41:$C$52,"&gt;="&amp;'人员结果'!$B$12,'原始数据'!$C$41:$C$52,"&lt;"&amp;'人员结果'!$B$13)</x:f>
        <x:v>10500</x:v>
      </x:c>
      <x:c r="F5" s="10" t="n">
        <x:f>MIN(D5,MAX(E5,0))</x:f>
        <x:v>10000</x:v>
      </x:c>
      <x:c r="G5" s="9" t="n">
        <x:f>INDEX('原始数据'!$C$14:$C$16,MATCH(C5,'原始数据'!$A$14:$A$16,0))</x:f>
        <x:v>0.03</x:v>
      </x:c>
      <x:c r="H5" s="10" t="n">
        <x:f>ROUND(F5*G5,2)</x:f>
        <x:v>300</x:v>
      </x:c>
    </x:row>
    <x:row r="6" ht="25" customHeight="1">
      <x:c r="A6" s="7" t="str">
        <x:f>'原始数据'!A31</x:f>
        <x:v>O102</x:v>
      </x:c>
      <x:c r="B6" s="7" t="str">
        <x:f>'原始数据'!B31</x:f>
        <x:v>001</x:v>
      </x:c>
      <x:c r="C6" s="7" t="str">
        <x:f>'原始数据'!C31</x:f>
        <x:v>02</x:v>
      </x:c>
      <x:c r="D6" s="10" t="n">
        <x:f>'原始数据'!D31</x:f>
        <x:v>3000</x:v>
      </x:c>
      <x:c r="E6" s="10" t="n">
        <x:f>SUMIFS('原始数据'!$E$41:$E$52,'原始数据'!$B$41:$B$52,A6,'原始数据'!$D$41:$D$52,"已审批",'原始数据'!$C$41:$C$52,"&gt;="&amp;'人员结果'!$B$12,'原始数据'!$C$41:$C$52,"&lt;"&amp;'人员结果'!$B$13)</x:f>
        <x:v>2000.1</x:v>
      </x:c>
      <x:c r="F6" s="10" t="n">
        <x:f>MIN(D6,MAX(E6,0))</x:f>
        <x:v>2000.1</x:v>
      </x:c>
      <x:c r="G6" s="9" t="n">
        <x:f>INDEX('原始数据'!$C$14:$C$16,MATCH(C6,'原始数据'!$A$14:$A$16,0))</x:f>
        <x:v>0.05</x:v>
      </x:c>
      <x:c r="H6" s="10" t="n">
        <x:f>ROUND(F6*G6,2)</x:f>
        <x:v>100.01</x:v>
      </x:c>
    </x:row>
    <x:row r="7" ht="25" customHeight="1">
      <x:c r="A7" s="7" t="str">
        <x:f>'原始数据'!A32</x:f>
        <x:v>O103</x:v>
      </x:c>
      <x:c r="B7" s="7" t="str">
        <x:f>'原始数据'!B32</x:f>
        <x:v>002</x:v>
      </x:c>
      <x:c r="C7" s="7" t="str">
        <x:f>'原始数据'!C32</x:f>
        <x:v>01</x:v>
      </x:c>
      <x:c r="D7" s="10" t="n">
        <x:f>'原始数据'!D32</x:f>
        <x:v>5000</x:v>
      </x:c>
      <x:c r="E7" s="10" t="n">
        <x:f>SUMIFS('原始数据'!$E$41:$E$52,'原始数据'!$B$41:$B$52,A7,'原始数据'!$D$41:$D$52,"已审批",'原始数据'!$C$41:$C$52,"&gt;="&amp;'人员结果'!$B$12,'原始数据'!$C$41:$C$52,"&lt;"&amp;'人员结果'!$B$13)</x:f>
        <x:v>3000</x:v>
      </x:c>
      <x:c r="F7" s="10" t="n">
        <x:f>MIN(D7,MAX(E7,0))</x:f>
        <x:v>3000</x:v>
      </x:c>
      <x:c r="G7" s="9" t="n">
        <x:f>INDEX('原始数据'!$C$14:$C$16,MATCH(C7,'原始数据'!$A$14:$A$16,0))</x:f>
        <x:v>0.03</x:v>
      </x:c>
      <x:c r="H7" s="10" t="n">
        <x:f>ROUND(F7*G7,2)</x:f>
        <x:v>90</x:v>
      </x:c>
    </x:row>
    <x:row r="8" ht="25" customHeight="1">
      <x:c r="A8" s="7" t="str">
        <x:f>'原始数据'!A33</x:f>
        <x:v>O104</x:v>
      </x:c>
      <x:c r="B8" s="7" t="str">
        <x:f>'原始数据'!B33</x:f>
        <x:v>002</x:v>
      </x:c>
      <x:c r="C8" s="7" t="str">
        <x:f>'原始数据'!C33</x:f>
        <x:v>03</x:v>
      </x:c>
      <x:c r="D8" s="10" t="n">
        <x:f>'原始数据'!D33</x:f>
        <x:v>8000</x:v>
      </x:c>
      <x:c r="E8" s="10" t="n">
        <x:f>SUMIFS('原始数据'!$E$41:$E$52,'原始数据'!$B$41:$B$52,A8,'原始数据'!$D$41:$D$52,"已审批",'原始数据'!$C$41:$C$52,"&gt;="&amp;'人员结果'!$B$12,'原始数据'!$C$41:$C$52,"&lt;"&amp;'人员结果'!$B$13)</x:f>
        <x:v>4000</x:v>
      </x:c>
      <x:c r="F8" s="10" t="n">
        <x:f>MIN(D8,MAX(E8,0))</x:f>
        <x:v>4000</x:v>
      </x:c>
      <x:c r="G8" s="9" t="n">
        <x:f>INDEX('原始数据'!$C$14:$C$16,MATCH(C8,'原始数据'!$A$14:$A$16,0))</x:f>
        <x:v>0.02</x:v>
      </x:c>
      <x:c r="H8" s="10" t="n">
        <x:f>ROUND(F8*G8,2)</x:f>
        <x:v>80</x:v>
      </x:c>
    </x:row>
    <x:row r="9" ht="25" customHeight="1">
      <x:c r="A9" s="7" t="str">
        <x:f>'原始数据'!A34</x:f>
        <x:v>O105</x:v>
      </x:c>
      <x:c r="B9" s="7" t="str">
        <x:f>'原始数据'!B34</x:f>
        <x:v>003</x:v>
      </x:c>
      <x:c r="C9" s="7" t="str">
        <x:f>'原始数据'!C34</x:f>
        <x:v>02</x:v>
      </x:c>
      <x:c r="D9" s="10" t="n">
        <x:f>'原始数据'!D34</x:f>
        <x:v>2500</x:v>
      </x:c>
      <x:c r="E9" s="10" t="n">
        <x:f>SUMIFS('原始数据'!$E$41:$E$52,'原始数据'!$B$41:$B$52,A9,'原始数据'!$D$41:$D$52,"已审批",'原始数据'!$C$41:$C$52,"&gt;="&amp;'人员结果'!$B$12,'原始数据'!$C$41:$C$52,"&lt;"&amp;'人员结果'!$B$13)</x:f>
        <x:v>2500</x:v>
      </x:c>
      <x:c r="F9" s="10" t="n">
        <x:f>MIN(D9,MAX(E9,0))</x:f>
        <x:v>2500</x:v>
      </x:c>
      <x:c r="G9" s="9" t="n">
        <x:f>INDEX('原始数据'!$C$14:$C$16,MATCH(C9,'原始数据'!$A$14:$A$16,0))</x:f>
        <x:v>0.05</x:v>
      </x:c>
      <x:c r="H9" s="10" t="n">
        <x:f>ROUND(F9*G9,2)</x:f>
        <x:v>125</x:v>
      </x:c>
    </x:row>
    <x:row r="10" ht="25" customHeight="1">
      <x:c r="A10" s="7" t="str">
        <x:f>'原始数据'!A35</x:f>
        <x:v>O106</x:v>
      </x:c>
      <x:c r="B10" s="7" t="str">
        <x:f>'原始数据'!B35</x:f>
        <x:v>003</x:v>
      </x:c>
      <x:c r="C10" s="7" t="str">
        <x:f>'原始数据'!C35</x:f>
        <x:v>01</x:v>
      </x:c>
      <x:c r="D10" s="10" t="n">
        <x:f>'原始数据'!D35</x:f>
        <x:v>4000</x:v>
      </x:c>
      <x:c r="E10" s="10" t="n">
        <x:f>SUMIFS('原始数据'!$E$41:$E$52,'原始数据'!$B$41:$B$52,A10,'原始数据'!$D$41:$D$52,"已审批",'原始数据'!$C$41:$C$52,"&gt;="&amp;'人员结果'!$B$12,'原始数据'!$C$41:$C$52,"&lt;"&amp;'人员结果'!$B$13)</x:f>
        <x:v>-100</x:v>
      </x:c>
      <x:c r="F10" s="10" t="n">
        <x:f>MIN(D10,MAX(E10,0))</x:f>
        <x:v>0</x:v>
      </x:c>
      <x:c r="G10" s="9" t="n">
        <x:f>INDEX('原始数据'!$C$14:$C$16,MATCH(C10,'原始数据'!$A$14:$A$16,0))</x:f>
        <x:v>0.03</x:v>
      </x:c>
      <x:c r="H10" s="10" t="n">
        <x:f>ROUND(F10*G10,2)</x:f>
        <x:v>0</x:v>
      </x:c>
    </x:row>
    <x:row r="11" ht="25" customHeight="1">
      <x:c r="A11" s="13" t="str">
        <x:v>合计</x:v>
      </x:c>
      <x:c r="B11" s="13"/>
      <x:c r="C11" s="13"/>
      <x:c r="D11" s="14" t="n">
        <x:f>SUM(D5:D10)</x:f>
        <x:v>32500</x:v>
      </x:c>
      <x:c r="E11" s="14" t="n">
        <x:f>SUM(E5:E10)</x:f>
        <x:v>21900.1</x:v>
      </x:c>
      <x:c r="F11" s="14" t="n">
        <x:f>SUM(F5:F10)</x:f>
        <x:v>21500.1</x:v>
      </x:c>
      <x:c r="G11" s="13"/>
      <x:c r="H11" s="14" t="n">
        <x:f>SUM(H5:H10)</x:f>
        <x:v>695.01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2">
      <x:c r="A2" s="1" t="str">
        <x:v>人员</x:v>
      </x:c>
    </x:row>
    <x:row r="4" ht="30" customHeight="1">
      <x:c r="A4" s="6" t="str">
        <x:v>员工编号</x:v>
      </x:c>
      <x:c r="B4" s="6" t="str">
        <x:v>姓名</x:v>
      </x:c>
      <x:c r="C4" s="6" t="str">
        <x:v>计奖系数</x:v>
      </x:c>
    </x:row>
    <x:row r="5" ht="25" customHeight="1">
      <x:c r="A5" s="7" t="str">
        <x:v>001</x:v>
      </x:c>
      <x:c r="B5" s="3" t="str">
        <x:v>林晨</x:v>
      </x:c>
      <x:c r="C5" s="8" t="n">
        <x:v>1</x:v>
      </x:c>
    </x:row>
    <x:row r="6" ht="25" customHeight="1">
      <x:c r="A6" s="7" t="str">
        <x:v>002</x:v>
      </x:c>
      <x:c r="B6" s="3" t="str">
        <x:v>周宁</x:v>
      </x:c>
      <x:c r="C6" s="8" t="n">
        <x:v>0.8</x:v>
      </x:c>
    </x:row>
    <x:row r="7" ht="25" customHeight="1">
      <x:c r="A7" s="7" t="str">
        <x:v>003</x:v>
      </x:c>
      <x:c r="B7" s="3" t="str">
        <x:v>林晨</x:v>
      </x:c>
      <x:c r="C7" s="8" t="n">
        <x:v>1</x:v>
      </x:c>
    </x:row>
    <x:row r="8" ht="25" customHeight="1">
      <x:c r="A8" s="7" t="str">
        <x:v>004</x:v>
      </x:c>
      <x:c r="B8" s="3" t="str">
        <x:v>许安</x:v>
      </x:c>
      <x:c r="C8" s="8" t="n">
        <x:v>1</x:v>
      </x:c>
    </x:row>
    <x:row r="11">
      <x:c r="A11" s="1" t="str">
        <x:v>品类费率</x:v>
      </x:c>
    </x:row>
    <x:row r="13" ht="30" customHeight="1">
      <x:c r="A13" s="6" t="str">
        <x:v>品类编码</x:v>
      </x:c>
      <x:c r="B13" s="6" t="str">
        <x:v>品类名称</x:v>
      </x:c>
      <x:c r="C13" s="6" t="str">
        <x:v>提成率</x:v>
      </x:c>
    </x:row>
    <x:row r="14" ht="25" customHeight="1">
      <x:c r="A14" s="7" t="str">
        <x:v>01</x:v>
      </x:c>
      <x:c r="B14" s="3" t="str">
        <x:v>标准产品</x:v>
      </x:c>
      <x:c r="C14" s="9" t="n">
        <x:v>0.03</x:v>
      </x:c>
    </x:row>
    <x:row r="15" ht="25" customHeight="1">
      <x:c r="A15" s="7" t="str">
        <x:v>02</x:v>
      </x:c>
      <x:c r="B15" s="3" t="str">
        <x:v>实施服务</x:v>
      </x:c>
      <x:c r="C15" s="9" t="n">
        <x:v>0.05</x:v>
      </x:c>
    </x:row>
    <x:row r="16" ht="25" customHeight="1">
      <x:c r="A16" s="7" t="str">
        <x:v>03</x:v>
      </x:c>
      <x:c r="B16" s="3" t="str">
        <x:v>续费服务</x:v>
      </x:c>
      <x:c r="C16" s="9" t="n">
        <x:v>0.02</x:v>
      </x:c>
    </x:row>
    <x:row r="19">
      <x:c r="A19" s="1" t="str">
        <x:v>预发记录</x:v>
      </x:c>
    </x:row>
    <x:row r="21" ht="30" customHeight="1">
      <x:c r="A21" s="6" t="str">
        <x:v>预发单号</x:v>
      </x:c>
      <x:c r="B21" s="6" t="str">
        <x:v>员工编号</x:v>
      </x:c>
      <x:c r="C21" s="6" t="str">
        <x:v>预发金额</x:v>
      </x:c>
    </x:row>
    <x:row r="22" ht="25" customHeight="1">
      <x:c r="A22" s="7" t="str">
        <x:v>A01</x:v>
      </x:c>
      <x:c r="B22" s="7" t="str">
        <x:v>001</x:v>
      </x:c>
      <x:c r="C22" s="10" t="n">
        <x:v>100</x:v>
      </x:c>
    </x:row>
    <x:row r="23" ht="25" customHeight="1">
      <x:c r="A23" s="7" t="str">
        <x:v>A02</x:v>
      </x:c>
      <x:c r="B23" s="7" t="str">
        <x:v>001</x:v>
      </x:c>
      <x:c r="C23" s="10" t="n">
        <x:v>50</x:v>
      </x:c>
    </x:row>
    <x:row r="24" ht="25" customHeight="1">
      <x:c r="A24" s="7" t="str">
        <x:v>A03</x:v>
      </x:c>
      <x:c r="B24" s="7" t="str">
        <x:v>002</x:v>
      </x:c>
      <x:c r="C24" s="10" t="n">
        <x:v>150</x:v>
      </x:c>
    </x:row>
    <x:row r="27">
      <x:c r="A27" s="1" t="str">
        <x:v>订单</x:v>
      </x:c>
    </x:row>
    <x:row r="29" ht="30" customHeight="1">
      <x:c r="A29" s="6" t="str">
        <x:v>订单号</x:v>
      </x:c>
      <x:c r="B29" s="6" t="str">
        <x:v>员工编号</x:v>
      </x:c>
      <x:c r="C29" s="6" t="str">
        <x:v>品类编码</x:v>
      </x:c>
      <x:c r="D29" s="6" t="str">
        <x:v>合同额</x:v>
      </x:c>
    </x:row>
    <x:row r="30" ht="25" customHeight="1">
      <x:c r="A30" s="7" t="str">
        <x:v>O101</x:v>
      </x:c>
      <x:c r="B30" s="7" t="str">
        <x:v>001</x:v>
      </x:c>
      <x:c r="C30" s="7" t="str">
        <x:v>01</x:v>
      </x:c>
      <x:c r="D30" s="10" t="n">
        <x:v>10000</x:v>
      </x:c>
    </x:row>
    <x:row r="31" ht="25" customHeight="1">
      <x:c r="A31" s="7" t="str">
        <x:v>O102</x:v>
      </x:c>
      <x:c r="B31" s="7" t="str">
        <x:v>001</x:v>
      </x:c>
      <x:c r="C31" s="7" t="str">
        <x:v>02</x:v>
      </x:c>
      <x:c r="D31" s="10" t="n">
        <x:v>3000</x:v>
      </x:c>
    </x:row>
    <x:row r="32" ht="25" customHeight="1">
      <x:c r="A32" s="7" t="str">
        <x:v>O103</x:v>
      </x:c>
      <x:c r="B32" s="7" t="str">
        <x:v>002</x:v>
      </x:c>
      <x:c r="C32" s="7" t="str">
        <x:v>01</x:v>
      </x:c>
      <x:c r="D32" s="10" t="n">
        <x:v>5000</x:v>
      </x:c>
    </x:row>
    <x:row r="33" ht="25" customHeight="1">
      <x:c r="A33" s="7" t="str">
        <x:v>O104</x:v>
      </x:c>
      <x:c r="B33" s="7" t="str">
        <x:v>002</x:v>
      </x:c>
      <x:c r="C33" s="7" t="str">
        <x:v>03</x:v>
      </x:c>
      <x:c r="D33" s="10" t="n">
        <x:v>8000</x:v>
      </x:c>
    </x:row>
    <x:row r="34" ht="25" customHeight="1">
      <x:c r="A34" s="7" t="str">
        <x:v>O105</x:v>
      </x:c>
      <x:c r="B34" s="7" t="str">
        <x:v>003</x:v>
      </x:c>
      <x:c r="C34" s="7" t="str">
        <x:v>02</x:v>
      </x:c>
      <x:c r="D34" s="10" t="n">
        <x:v>2500</x:v>
      </x:c>
    </x:row>
    <x:row r="35" ht="25" customHeight="1">
      <x:c r="A35" s="7" t="str">
        <x:v>O106</x:v>
      </x:c>
      <x:c r="B35" s="7" t="str">
        <x:v>003</x:v>
      </x:c>
      <x:c r="C35" s="7" t="str">
        <x:v>01</x:v>
      </x:c>
      <x:c r="D35" s="10" t="n">
        <x:v>4000</x:v>
      </x:c>
    </x:row>
    <x:row r="38">
      <x:c r="A38" s="1" t="str">
        <x:v>回款流水</x:v>
      </x:c>
    </x:row>
    <x:row r="40" ht="30" customHeight="1">
      <x:c r="A40" s="6" t="str">
        <x:v>流水号</x:v>
      </x:c>
      <x:c r="B40" s="6" t="str">
        <x:v>订单号</x:v>
      </x:c>
      <x:c r="C40" s="6" t="str">
        <x:v>回款日期</x:v>
      </x:c>
      <x:c r="D40" s="6" t="str">
        <x:v>审批状态</x:v>
      </x:c>
      <x:c r="E40" s="6" t="str">
        <x:v>金额</x:v>
      </x:c>
    </x:row>
    <x:row r="41" ht="25" customHeight="1">
      <x:c r="A41" s="7" t="str">
        <x:v>R01</x:v>
      </x:c>
      <x:c r="B41" s="7" t="str">
        <x:v>O101</x:v>
      </x:c>
      <x:c r="C41" s="11" t="d">
        <x:v>2026-09-01T00:00:00.000Z</x:v>
      </x:c>
      <x:c r="D41" s="3" t="str">
        <x:v>已审批</x:v>
      </x:c>
      <x:c r="E41" s="10" t="n">
        <x:v>4000</x:v>
      </x:c>
    </x:row>
    <x:row r="42" ht="25" customHeight="1">
      <x:c r="A42" s="7" t="str">
        <x:v>R02</x:v>
      </x:c>
      <x:c r="B42" s="7" t="str">
        <x:v>O101</x:v>
      </x:c>
      <x:c r="C42" s="11" t="d">
        <x:v>2026-09-30T00:00:00.000Z</x:v>
      </x:c>
      <x:c r="D42" s="3" t="str">
        <x:v>已审批</x:v>
      </x:c>
      <x:c r="E42" s="10" t="n">
        <x:v>6500</x:v>
      </x:c>
    </x:row>
    <x:row r="43" ht="25" customHeight="1">
      <x:c r="A43" s="7" t="str">
        <x:v>R03</x:v>
      </x:c>
      <x:c r="B43" s="7" t="str">
        <x:v>O102</x:v>
      </x:c>
      <x:c r="C43" s="11" t="d">
        <x:v>2026-09-12T00:00:00.000Z</x:v>
      </x:c>
      <x:c r="D43" s="3" t="str">
        <x:v>已审批</x:v>
      </x:c>
      <x:c r="E43" s="10" t="n">
        <x:v>2100.1</x:v>
      </x:c>
    </x:row>
    <x:row r="44" ht="25" customHeight="1">
      <x:c r="A44" s="7" t="str">
        <x:v>R04</x:v>
      </x:c>
      <x:c r="B44" s="7" t="str">
        <x:v>O102</x:v>
      </x:c>
      <x:c r="C44" s="11" t="d">
        <x:v>2026-09-20T00:00:00.000Z</x:v>
      </x:c>
      <x:c r="D44" s="3" t="str">
        <x:v>已审批</x:v>
      </x:c>
      <x:c r="E44" s="10" t="n">
        <x:v>-100</x:v>
      </x:c>
    </x:row>
    <x:row r="45" ht="25" customHeight="1">
      <x:c r="A45" s="7" t="str">
        <x:v>R05</x:v>
      </x:c>
      <x:c r="B45" s="7" t="str">
        <x:v>O103</x:v>
      </x:c>
      <x:c r="C45" s="11" t="d">
        <x:v>2026-09-15T00:00:00.000Z</x:v>
      </x:c>
      <x:c r="D45" s="3" t="str">
        <x:v>已审批</x:v>
      </x:c>
      <x:c r="E45" s="10" t="n">
        <x:v>3000</x:v>
      </x:c>
    </x:row>
    <x:row r="46" ht="25" customHeight="1">
      <x:c r="A46" s="7" t="str">
        <x:v>R06</x:v>
      </x:c>
      <x:c r="B46" s="7" t="str">
        <x:v>O103</x:v>
      </x:c>
      <x:c r="C46" s="11" t="d">
        <x:v>2026-09-18T00:00:00.000Z</x:v>
      </x:c>
      <x:c r="D46" s="3" t="str">
        <x:v>待审批</x:v>
      </x:c>
      <x:c r="E46" s="10" t="n">
        <x:v>2000</x:v>
      </x:c>
    </x:row>
    <x:row r="47" ht="25" customHeight="1">
      <x:c r="A47" s="7" t="str">
        <x:v>R07</x:v>
      </x:c>
      <x:c r="B47" s="7" t="str">
        <x:v>O104</x:v>
      </x:c>
      <x:c r="C47" s="11" t="d">
        <x:v>2026-08-31T00:00:00.000Z</x:v>
      </x:c>
      <x:c r="D47" s="3" t="str">
        <x:v>已审批</x:v>
      </x:c>
      <x:c r="E47" s="10" t="n">
        <x:v>8000</x:v>
      </x:c>
    </x:row>
    <x:row r="48" ht="25" customHeight="1">
      <x:c r="A48" s="7" t="str">
        <x:v>R08</x:v>
      </x:c>
      <x:c r="B48" s="7" t="str">
        <x:v>O104</x:v>
      </x:c>
      <x:c r="C48" s="11" t="d">
        <x:v>2026-09-25T00:00:00.000Z</x:v>
      </x:c>
      <x:c r="D48" s="3" t="str">
        <x:v>已审批</x:v>
      </x:c>
      <x:c r="E48" s="10" t="n">
        <x:v>4000</x:v>
      </x:c>
    </x:row>
    <x:row r="49" ht="25" customHeight="1">
      <x:c r="A49" s="7" t="str">
        <x:v>R09</x:v>
      </x:c>
      <x:c r="B49" s="7" t="str">
        <x:v>O105</x:v>
      </x:c>
      <x:c r="C49" s="11" t="d">
        <x:v>2026-10-01T00:00:00.000Z</x:v>
      </x:c>
      <x:c r="D49" s="3" t="str">
        <x:v>已审批</x:v>
      </x:c>
      <x:c r="E49" s="10" t="n">
        <x:v>2500</x:v>
      </x:c>
    </x:row>
    <x:row r="50" ht="25" customHeight="1">
      <x:c r="A50" s="7" t="str">
        <x:v>R10</x:v>
      </x:c>
      <x:c r="B50" s="7" t="str">
        <x:v>O105</x:v>
      </x:c>
      <x:c r="C50" s="11" t="d">
        <x:v>2026-09-30T00:00:00.000Z</x:v>
      </x:c>
      <x:c r="D50" s="3" t="str">
        <x:v>已审批</x:v>
      </x:c>
      <x:c r="E50" s="10" t="n">
        <x:v>2500</x:v>
      </x:c>
    </x:row>
    <x:row r="51" ht="25" customHeight="1">
      <x:c r="A51" s="7" t="str">
        <x:v>R11</x:v>
      </x:c>
      <x:c r="B51" s="7" t="str">
        <x:v>O106</x:v>
      </x:c>
      <x:c r="C51" s="11" t="d">
        <x:v>2026-09-10T00:00:00.000Z</x:v>
      </x:c>
      <x:c r="D51" s="3" t="str">
        <x:v>已审批</x:v>
      </x:c>
      <x:c r="E51" s="10" t="n">
        <x:v>200</x:v>
      </x:c>
    </x:row>
    <x:row r="52" ht="25" customHeight="1">
      <x:c r="A52" s="7" t="str">
        <x:v>R12</x:v>
      </x:c>
      <x:c r="B52" s="7" t="str">
        <x:v>O106</x:v>
      </x:c>
      <x:c r="C52" s="11" t="d">
        <x:v>2026-09-20T00:00:00.000Z</x:v>
      </x:c>
      <x:c r="D52" s="3" t="str">
        <x:v>已审批</x:v>
      </x:c>
      <x:c r="E52" s="10" t="n">
        <x:v>-300</x:v>
      </x:c>
    </x:row>
  </x:sheetData>
  <x:pageMargins left="0.7" right="0.7" top="0.75" bottom="0.75" header="0.3" footer="0.3"/>
</x:worksheet>
</file>