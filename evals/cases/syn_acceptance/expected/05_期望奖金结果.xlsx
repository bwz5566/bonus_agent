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9326dd9bb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32c1b9033df347b8"/>
    <x:sheet xmlns:r="http://schemas.openxmlformats.org/officeDocument/2006/relationships" name="部门结果" sheetId="2" r:id="Raff9d6efd2de418c"/>
    <x:sheet xmlns:r="http://schemas.openxmlformats.org/officeDocument/2006/relationships" name="小组结果" sheetId="3" r:id="R8f896969a3354dbb"/>
    <x:sheet xmlns:r="http://schemas.openxmlformats.org/officeDocument/2006/relationships" name="个人结果" sheetId="4" r:id="R9805992cfbb945ae"/>
    <x:sheet xmlns:r="http://schemas.openxmlformats.org/officeDocument/2006/relationships" name="项目计算" sheetId="5" r:id="R0cd8e1d7791044d0"/>
    <x:sheet xmlns:r="http://schemas.openxmlformats.org/officeDocument/2006/relationships" name="校验与用例" sheetId="6" r:id="R0a24278f236f4063"/>
    <x:sheet xmlns:r="http://schemas.openxmlformats.org/officeDocument/2006/relationships" name="参数" sheetId="7" r:id="Re7d70cf5be66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0000"/>
    <x:numFmt numFmtId="202" formatCode="0"/>
  </x:numFmts>
  <x:fonts count="5">
    <x:font>
      <x:sz val="11"/>
      <x:name val="Carlito"/>
    </x:font>
    <x:font>
      <x:sz val="10"/>
      <x:name val="Noto Sans CJK SC"/>
    </x:font>
    <x:font>
      <x:b/>
      <x:sz val="10"/>
      <x:color rgb="FFFFFFFF"/>
      <x:name val="Noto Sans CJK SC"/>
    </x:font>
    <x:font>
      <x:b/>
      <x:sz val="15"/>
      <x:color rgb="FF17365D"/>
      <x:name val="Noto Sans CJK SC"/>
    </x:font>
    <x:font>
      <x:sz val="10"/>
      <x:color rgb="FF666666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431104228407b" /><Relationship Type="http://schemas.openxmlformats.org/officeDocument/2006/relationships/theme" Target="/xl/theme/theme1.xml" Id="Rd3caadc2caa0473d" /><Relationship Type="http://schemas.openxmlformats.org/officeDocument/2006/relationships/sharedStrings" Target="/xl/sharedStrings.xml" Id="R719524ca9bd64077" /><Relationship Type="http://schemas.openxmlformats.org/officeDocument/2006/relationships/worksheet" Target="/xl/worksheets/sheet1.xml" Id="R32c1b9033df347b8" /><Relationship Type="http://schemas.openxmlformats.org/officeDocument/2006/relationships/worksheet" Target="/xl/worksheets/sheet2.xml" Id="Raff9d6efd2de418c" /><Relationship Type="http://schemas.openxmlformats.org/officeDocument/2006/relationships/worksheet" Target="/xl/worksheets/sheet3.xml" Id="R8f896969a3354dbb" /><Relationship Type="http://schemas.openxmlformats.org/officeDocument/2006/relationships/worksheet" Target="/xl/worksheets/sheet4.xml" Id="R9805992cfbb945ae" /><Relationship Type="http://schemas.openxmlformats.org/officeDocument/2006/relationships/worksheet" Target="/xl/worksheets/sheet5.xml" Id="R0cd8e1d7791044d0" /><Relationship Type="http://schemas.openxmlformats.org/officeDocument/2006/relationships/worksheet" Target="/xl/worksheets/sheet6.xml" Id="R0a24278f236f4063" /><Relationship Type="http://schemas.openxmlformats.org/officeDocument/2006/relationships/worksheet" Target="/xl/worksheets/sheet7.xml" Id="Re7d70cf5be6642b8" /></Relationships>
</file>

<file path=xl/tables/table1.xml><?xml version="1.0" encoding="utf-8"?>
<x:table xmlns:x="http://schemas.openxmlformats.org/spreadsheetml/2006/main" id="6" name="BonusData_23" displayName="BonusData_23" ref="A5:I10" headerRowCount="1" totalsRowCount="0" totalsRowShown="0">
  <x:tableColumns count="9">
    <x:tableColumn id="1" name="方案"/>
    <x:tableColumn id="2" name="修订"/>
    <x:tableColumn id="3" name="周期"/>
    <x:tableColumn id="4" name="应得总包"/>
    <x:tableColumn id="5" name="本次可发"/>
    <x:tableColumn id="6" name="暂缓金额"/>
    <x:tableColumn id="7" name="已发抵扣"/>
    <x:tableColumn id="8" name="超发待核对"/>
    <x:tableColumn id="9" name="资金勾稽差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BonusData_21" displayName="BonusData_21" ref="A5:T15" headerRowCount="1" totalsRowCount="0" totalsRowShown="0">
  <x:tableColumns count="20">
    <x:tableColumn id="1" name="方案"/>
    <x:tableColumn id="2" name="修订"/>
    <x:tableColumn id="3" name="周期"/>
    <x:tableColumn id="4" name="部门编号"/>
    <x:tableColumn id="5" name="部门"/>
    <x:tableColumn id="6" name="销售额"/>
    <x:tableColumn id="7" name="净利润"/>
    <x:tableColumn id="8" name="有效销售额"/>
    <x:tableColumn id="9" name="销售目标"/>
    <x:tableColumn id="10" name="完成率"/>
    <x:tableColumn id="11" name="完成系数"/>
    <x:tableColumn id="12" name="销售或过程激励"/>
    <x:tableColumn id="13" name="利润激励"/>
    <x:tableColumn id="14" name="公式计算总包"/>
    <x:tableColumn id="15" name="期望应得总包"/>
    <x:tableColumn id="16" name="总包差异"/>
    <x:tableColumn id="17" name="本次可发"/>
    <x:tableColumn id="18" name="暂缓金额"/>
    <x:tableColumn id="19" name="已发抵扣"/>
    <x:tableColumn id="20" name="超发待核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BonusData_22" displayName="BonusData_22" ref="A5:N35" headerRowCount="1" totalsRowCount="0" totalsRowShown="0">
  <x:tableColumns count="14">
    <x:tableColumn id="1" name="方案"/>
    <x:tableColumn id="2" name="修订"/>
    <x:tableColumn id="3" name="周期"/>
    <x:tableColumn id="4" name="部门"/>
    <x:tableColumn id="5" name="小组编号"/>
    <x:tableColumn id="6" name="小组"/>
    <x:tableColumn id="7" name="销售额"/>
    <x:tableColumn id="8" name="销售目标"/>
    <x:tableColumn id="9" name="绩效评分"/>
    <x:tableColumn id="10" name="原始权重"/>
    <x:tableColumn id="11" name="期望应得"/>
    <x:tableColumn id="12" name="人工指定"/>
    <x:tableColumn id="13" name="个人应得合计"/>
    <x:tableColumn id="14" name="层级差异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BonusData_19" displayName="BonusData_19" ref="A5:AE125" headerRowCount="1" totalsRowCount="0" totalsRowShown="0">
  <x:tableColumns count="31">
    <x:tableColumn id="1" name="方案"/>
    <x:tableColumn id="2" name="修订"/>
    <x:tableColumn id="3" name="周期"/>
    <x:tableColumn id="4" name="部门"/>
    <x:tableColumn id="5" name="小组"/>
    <x:tableColumn id="6" name="员工编号"/>
    <x:tableColumn id="7" name="姓名"/>
    <x:tableColumn id="8" name="应得金额"/>
    <x:tableColumn id="9" name="本次可发"/>
    <x:tableColumn id="10" name="暂缓金额"/>
    <x:tableColumn id="11" name="已发抵扣"/>
    <x:tableColumn id="12" name="超发待核对"/>
    <x:tableColumn id="13" name="回款比例"/>
    <x:tableColumn id="14" name="原分配权重"/>
    <x:tableColumn id="15" name="人工指定金额"/>
    <x:tableColumn id="16" name="归属销售额"/>
    <x:tableColumn id="17" name="归属回款额"/>
    <x:tableColumn id="18" name="工龄年"/>
    <x:tableColumn id="19" name="确认贡献分"/>
    <x:tableColumn id="20" name="难度归一"/>
    <x:tableColumn id="21" name="完成归一"/>
    <x:tableColumn id="22" name="项目数"/>
    <x:tableColumn id="23" name="确认产出分"/>
    <x:tableColumn id="24" name="AI建议分"/>
    <x:tableColumn id="25" name="评分来源"/>
    <x:tableColumn id="26" name="可发上限"/>
    <x:tableColumn id="27" name="期望可发快照"/>
    <x:tableColumn id="28" name="期望暂缓快照"/>
    <x:tableColumn id="29" name="期望权重快照"/>
    <x:tableColumn id="30" name="可发差异"/>
    <x:tableColumn id="31" name="权重差异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BonusData_20" displayName="BonusData_20" ref="A5:S113" headerRowCount="1" totalsRowCount="0" totalsRowShown="0">
  <x:tableColumns count="19">
    <x:tableColumn id="1" name="方案"/>
    <x:tableColumn id="2" name="周期"/>
    <x:tableColumn id="3" name="项目"/>
    <x:tableColumn id="4" name="部门"/>
    <x:tableColumn id="5" name="小组"/>
    <x:tableColumn id="6" name="区域"/>
    <x:tableColumn id="7" name="销售额"/>
    <x:tableColumn id="8" name="成本"/>
    <x:tableColumn id="9" name="费用"/>
    <x:tableColumn id="10" name="净利润"/>
    <x:tableColumn id="11" name="毛利率"/>
    <x:tableColumn id="12" name="区域系数"/>
    <x:tableColumn id="13" name="新老系数"/>
    <x:tableColumn id="14" name="毛利系数"/>
    <x:tableColumn id="15" name="有效销售额"/>
    <x:tableColumn id="16" name="期间销售单回款"/>
    <x:tableColumn id="17" name="里程碑奖金"/>
    <x:tableColumn id="18" name="期望有效销售额"/>
    <x:tableColumn id="19" name="有效额差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BonusData_24" displayName="BonusData_24" ref="A5:E37" headerRowCount="1" totalsRowCount="0" totalsRowShown="0">
  <x:tableColumns count="5">
    <x:tableColumn id="1" name="用例编号"/>
    <x:tableColumn id="2" name="核对事项"/>
    <x:tableColumn id="3" name="期望结果"/>
    <x:tableColumn id="4" name="实际结果"/>
    <x:tableColumn id="5" name="核对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BonusData_18" displayName="BonusData_18" ref="A1:D31" headerRowCount="1" totalsRowCount="0" totalsRowShown="0">
  <x:tableColumns count="4">
    <x:tableColumn id="1" name="参数"/>
    <x:tableColumn id="2" name="数值"/>
    <x:tableColumn id="3" name="单位"/>
    <x:tableColumn id="4" name="含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c19c6177704a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cb2251004b4a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0a413f598048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794899eed54a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f2bed144b740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1420e6c4e1349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6758f53b87a49f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5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2" ht="27" customHeight="1">
      <x:c r="A2" s="8" t="str">
        <x:v>奖金样例期望结果</x:v>
      </x:c>
    </x:row>
    <x:row r="3">
      <x:c r="A3" s="9" t="str">
        <x:v>金额单位：人民币元。年度为模拟全年数据。超发只登记，不自动追回。</x:v>
      </x:c>
    </x:row>
    <x:row r="5" ht="42" customHeight="1">
      <x:c r="A5" s="6" t="str">
        <x:v>方案</x:v>
      </x:c>
      <x:c r="B5" s="6" t="str">
        <x:v>修订</x:v>
      </x:c>
      <x:c r="C5" s="6" t="str">
        <x:v>周期</x:v>
      </x:c>
      <x:c r="D5" s="6" t="str">
        <x:v>应得总包</x:v>
      </x:c>
      <x:c r="E5" s="6" t="str">
        <x:v>本次可发</x:v>
      </x:c>
      <x:c r="F5" s="6" t="str">
        <x:v>暂缓金额</x:v>
      </x:c>
      <x:c r="G5" s="6" t="str">
        <x:v>已发抵扣</x:v>
      </x:c>
      <x:c r="H5" s="6" t="str">
        <x:v>超发待核对</x:v>
      </x:c>
      <x:c r="I5" s="6" t="str">
        <x:v>资金勾稽差异</x:v>
      </x:c>
    </x:row>
    <x:row r="6" ht="22" customHeight="1">
      <x:c r="A6" s="7" t="str">
        <x:v>QUARTER</x:v>
      </x:c>
      <x:c r="B6" s="7" t="str">
        <x:v>R0</x:v>
      </x:c>
      <x:c r="C6" s="7" t="str">
        <x:v>Q3</x:v>
      </x:c>
      <x:c r="D6" s="7" t="n">
        <x:f>SUMIFS('部门结果'!$O$6:$O$15,'部门结果'!$A$6:$A$15,A6,'部门结果'!$B$6:$B$15,B6)</x:f>
        <x:v>3902968.85</x:v>
      </x:c>
      <x:c r="E6" s="7" t="n">
        <x:f>SUMIFS('部门结果'!$Q$6:$Q$15,'部门结果'!$A$6:$A$15,A6,'部门结果'!$B$6:$B$15,B6)</x:f>
        <x:v>1181560.71</x:v>
      </x:c>
      <x:c r="F6" s="7" t="n">
        <x:f>SUMIFS('部门结果'!$R$6:$R$15,'部门结果'!$A$6:$A$15,A6,'部门结果'!$B$6:$B$15,B6)</x:f>
        <x:v>2721408.14</x:v>
      </x:c>
      <x:c r="G6" s="7" t="n">
        <x:f>SUMIFS('部门结果'!$S$6:$S$15,'部门结果'!$A$6:$A$15,A6,'部门结果'!$B$6:$B$15,B6)</x:f>
        <x:v>0</x:v>
      </x:c>
      <x:c r="H6" s="7" t="n">
        <x:f>SUMIFS('部门结果'!$T$6:$T$15,'部门结果'!$A$6:$A$15,A6,'部门结果'!$B$6:$B$15,B6)</x:f>
        <x:v>0</x:v>
      </x:c>
      <x:c r="I6" s="7" t="n">
        <x:f>ROUND(G6+E6-H6+F6-D6,2)</x:f>
        <x:v>0</x:v>
      </x:c>
    </x:row>
    <x:row r="7" ht="22" customHeight="1">
      <x:c r="A7" s="7" t="str">
        <x:v>QUARTER</x:v>
      </x:c>
      <x:c r="B7" s="7" t="str">
        <x:v>R1</x:v>
      </x:c>
      <x:c r="C7" s="7" t="str">
        <x:v>Q3</x:v>
      </x:c>
      <x:c r="D7" s="7" t="n">
        <x:f>SUMIFS('部门结果'!$O$6:$O$15,'部门结果'!$A$6:$A$15,A7,'部门结果'!$B$6:$B$15,B7)</x:f>
        <x:v>3902968.85</x:v>
      </x:c>
      <x:c r="E7" s="7" t="n">
        <x:f>SUMIFS('部门结果'!$Q$6:$Q$15,'部门结果'!$A$6:$A$15,A7,'部门结果'!$B$6:$B$15,B7)</x:f>
        <x:v>1182596.77</x:v>
      </x:c>
      <x:c r="F7" s="7" t="n">
        <x:f>SUMIFS('部门结果'!$R$6:$R$15,'部门结果'!$A$6:$A$15,A7,'部门结果'!$B$6:$B$15,B7)</x:f>
        <x:v>2720372.08</x:v>
      </x:c>
      <x:c r="G7" s="7" t="n">
        <x:f>SUMIFS('部门结果'!$S$6:$S$15,'部门结果'!$A$6:$A$15,A7,'部门结果'!$B$6:$B$15,B7)</x:f>
        <x:v>0</x:v>
      </x:c>
      <x:c r="H7" s="7" t="n">
        <x:f>SUMIFS('部门结果'!$T$6:$T$15,'部门结果'!$A$6:$A$15,A7,'部门结果'!$B$6:$B$15,B7)</x:f>
        <x:v>0</x:v>
      </x:c>
      <x:c r="I7" s="7" t="n">
        <x:f>ROUND(G7+E7-H7+F7-D7,2)</x:f>
        <x:v>0</x:v>
      </x:c>
    </x:row>
    <x:row r="8" ht="22" customHeight="1">
      <x:c r="A8" s="7" t="str">
        <x:v>QUARTER</x:v>
      </x:c>
      <x:c r="B8" s="7" t="str">
        <x:v>R2</x:v>
      </x:c>
      <x:c r="C8" s="7" t="str">
        <x:v>Q3</x:v>
      </x:c>
      <x:c r="D8" s="7" t="n">
        <x:f>SUMIFS('部门结果'!$O$6:$O$15,'部门结果'!$A$6:$A$15,A8,'部门结果'!$B$6:$B$15,B8)</x:f>
        <x:v>3902968.85</x:v>
      </x:c>
      <x:c r="E8" s="7" t="n">
        <x:f>SUMIFS('部门结果'!$Q$6:$Q$15,'部门结果'!$A$6:$A$15,A8,'部门结果'!$B$6:$B$15,B8)</x:f>
        <x:v>1179930.19</x:v>
      </x:c>
      <x:c r="F8" s="7" t="n">
        <x:f>SUMIFS('部门结果'!$R$6:$R$15,'部门结果'!$A$6:$A$15,A8,'部门结果'!$B$6:$B$15,B8)</x:f>
        <x:v>2723038.66</x:v>
      </x:c>
      <x:c r="G8" s="7" t="n">
        <x:f>SUMIFS('部门结果'!$S$6:$S$15,'部门结果'!$A$6:$A$15,A8,'部门结果'!$B$6:$B$15,B8)</x:f>
        <x:v>0</x:v>
      </x:c>
      <x:c r="H8" s="7" t="n">
        <x:f>SUMIFS('部门结果'!$T$6:$T$15,'部门结果'!$A$6:$A$15,A8,'部门结果'!$B$6:$B$15,B8)</x:f>
        <x:v>0</x:v>
      </x:c>
      <x:c r="I8" s="7" t="n">
        <x:f>ROUND(G8+E8-H8+F8-D8,2)</x:f>
        <x:v>0</x:v>
      </x:c>
    </x:row>
    <x:row r="9" ht="22" customHeight="1">
      <x:c r="A9" s="7" t="str">
        <x:v>PROCESS</x:v>
      </x:c>
      <x:c r="B9" s="7" t="str">
        <x:v>R0</x:v>
      </x:c>
      <x:c r="C9" s="7" t="str">
        <x:v>Q3</x:v>
      </x:c>
      <x:c r="D9" s="7" t="n">
        <x:f>SUMIFS('部门结果'!$O$6:$O$15,'部门结果'!$A$6:$A$15,A9,'部门结果'!$B$6:$B$15,B9)</x:f>
        <x:v>456347.5</x:v>
      </x:c>
      <x:c r="E9" s="7" t="n">
        <x:f>SUMIFS('部门结果'!$Q$6:$Q$15,'部门结果'!$A$6:$A$15,A9,'部门结果'!$B$6:$B$15,B9)</x:f>
        <x:v>134165.62</x:v>
      </x:c>
      <x:c r="F9" s="7" t="n">
        <x:f>SUMIFS('部门结果'!$R$6:$R$15,'部门结果'!$A$6:$A$15,A9,'部门结果'!$B$6:$B$15,B9)</x:f>
        <x:v>322181.88</x:v>
      </x:c>
      <x:c r="G9" s="7" t="n">
        <x:f>SUMIFS('部门结果'!$S$6:$S$15,'部门结果'!$A$6:$A$15,A9,'部门结果'!$B$6:$B$15,B9)</x:f>
        <x:v>0</x:v>
      </x:c>
      <x:c r="H9" s="7" t="n">
        <x:f>SUMIFS('部门结果'!$T$6:$T$15,'部门结果'!$A$6:$A$15,A9,'部门结果'!$B$6:$B$15,B9)</x:f>
        <x:v>0</x:v>
      </x:c>
      <x:c r="I9" s="7" t="n">
        <x:f>ROUND(G9+E9-H9+F9-D9,2)</x:f>
        <x:v>0</x:v>
      </x:c>
    </x:row>
    <x:row r="10" ht="22" customHeight="1">
      <x:c r="A10" s="7" t="str">
        <x:v>ANNUAL</x:v>
      </x:c>
      <x:c r="B10" s="7" t="str">
        <x:v>R0</x:v>
      </x:c>
      <x:c r="C10" s="7" t="str">
        <x:v>FY</x:v>
      </x:c>
      <x:c r="D10" s="7" t="n">
        <x:f>SUMIFS('部门结果'!$O$6:$O$15,'部门结果'!$A$6:$A$15,A10,'部门结果'!$B$6:$B$15,B10)</x:f>
        <x:v>13254837.030000001</x:v>
      </x:c>
      <x:c r="E10" s="7" t="n">
        <x:f>SUMIFS('部门结果'!$Q$6:$Q$15,'部门结果'!$A$6:$A$15,A10,'部门结果'!$B$6:$B$15,B10)</x:f>
        <x:v>3691109.0399999996</x:v>
      </x:c>
      <x:c r="F10" s="7" t="n">
        <x:f>SUMIFS('部门结果'!$R$6:$R$15,'部门结果'!$A$6:$A$15,A10,'部门结果'!$B$6:$B$15,B10)</x:f>
        <x:v>8017239.83</x:v>
      </x:c>
      <x:c r="G10" s="7" t="n">
        <x:f>SUMIFS('部门结果'!$S$6:$S$15,'部门结果'!$A$6:$A$15,A10,'部门结果'!$B$6:$B$15,B10)</x:f>
        <x:v>1839530.1900000002</x:v>
      </x:c>
      <x:c r="H10" s="7" t="n">
        <x:f>SUMIFS('部门结果'!$T$6:$T$15,'部门结果'!$A$6:$A$15,A10,'部门结果'!$B$6:$B$15,B10)</x:f>
        <x:v>293042.03</x:v>
      </x:c>
      <x:c r="I10" s="7" t="n">
        <x:f>ROUND(G10+E10-H10+F10-D10,2)</x:f>
        <x:v>0</x:v>
      </x:c>
    </x:row>
  </x:sheetData>
  <x:conditionalFormatting sqref="I6:I10">
    <x:cfRule type="cellIs" dxfId="4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c19c6177704acd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2" ht="27" customHeight="1">
      <x:c r="A2" s="8" t="str">
        <x:v>部门奖金期望结果</x:v>
      </x:c>
    </x:row>
    <x:row r="3">
      <x:c r="A3" s="9" t="str">
        <x:v>R0、R1、R2是季度奖金的三个修订，不可合计为三份奖金。</x:v>
      </x:c>
    </x:row>
    <x:row r="5" ht="42" customHeight="1">
      <x:c r="A5" s="6" t="str">
        <x:v>方案</x:v>
      </x:c>
      <x:c r="B5" s="6" t="str">
        <x:v>修订</x:v>
      </x:c>
      <x:c r="C5" s="6" t="str">
        <x:v>周期</x:v>
      </x:c>
      <x:c r="D5" s="6" t="str">
        <x:v>部门编号</x:v>
      </x:c>
      <x:c r="E5" s="6" t="str">
        <x:v>部门</x:v>
      </x:c>
      <x:c r="F5" s="6" t="str">
        <x:v>销售额</x:v>
      </x:c>
      <x:c r="G5" s="6" t="str">
        <x:v>净利润</x:v>
      </x:c>
      <x:c r="H5" s="6" t="str">
        <x:v>有效销售额</x:v>
      </x:c>
      <x:c r="I5" s="6" t="str">
        <x:v>销售目标</x:v>
      </x:c>
      <x:c r="J5" s="6" t="str">
        <x:v>完成率</x:v>
      </x:c>
      <x:c r="K5" s="6" t="str">
        <x:v>完成系数</x:v>
      </x:c>
      <x:c r="L5" s="6" t="str">
        <x:v>销售或过程激励</x:v>
      </x:c>
      <x:c r="M5" s="6" t="str">
        <x:v>利润激励</x:v>
      </x:c>
      <x:c r="N5" s="6" t="str">
        <x:v>公式计算总包</x:v>
      </x:c>
      <x:c r="O5" s="6" t="str">
        <x:v>期望应得总包</x:v>
      </x:c>
      <x:c r="P5" s="6" t="str">
        <x:v>总包差异</x:v>
      </x:c>
      <x:c r="Q5" s="6" t="str">
        <x:v>本次可发</x:v>
      </x:c>
      <x:c r="R5" s="6" t="str">
        <x:v>暂缓金额</x:v>
      </x:c>
      <x:c r="S5" s="6" t="str">
        <x:v>已发抵扣</x:v>
      </x:c>
      <x:c r="T5" s="6" t="str">
        <x:v>超发待核对</x:v>
      </x:c>
    </x:row>
    <x:row r="6" ht="22" customHeight="1">
      <x:c r="A6" s="7" t="str">
        <x:v>QUARTER</x:v>
      </x:c>
      <x:c r="B6" s="7" t="str">
        <x:v>R0</x:v>
      </x:c>
      <x:c r="C6" s="7" t="str">
        <x:v>Q3</x:v>
      </x:c>
      <x:c r="D6" s="7" t="str">
        <x:v>D01</x:v>
      </x:c>
      <x:c r="E6" s="7" t="str">
        <x:v>企业业务部</x:v>
      </x:c>
      <x:c r="F6" s="7" t="n">
        <x:v>21659000</x:v>
      </x:c>
      <x:c r="G6" s="7" t="n">
        <x:v>2496230</x:v>
      </x:c>
      <x:c r="H6" s="7" t="n">
        <x:v>18324020</x:v>
      </x:c>
      <x:c r="I6" s="7" t="n">
        <x:v>18000000</x:v>
      </x:c>
      <x:c r="J6" s="10" t="n">
        <x:f>F6/I6</x:f>
        <x:v>1.2032777777777777</x:v>
      </x:c>
      <x:c r="K6" s="10" t="n">
        <x:f>IF(J6&gt;='参数'!$B$30,'参数'!$B$31,IF(J6&gt;='参数'!$B$28,'参数'!$B$29,'参数'!$B$27))</x:f>
        <x:v>1.1</x:v>
      </x:c>
      <x:c r="L6" s="7" t="n">
        <x:f>H6*IF(H6&gt;='参数'!$B$18,'参数'!$B$19,IF(H6&gt;='参数'!$B$16,'参数'!$B$17,'参数'!$B$15))</x:f>
        <x:v>1832402</x:v>
      </x:c>
      <x:c r="M6" s="7" t="n">
        <x:f>MAX(G6,0)*'参数'!$B$8</x:f>
        <x:v>124811.5</x:v>
      </x:c>
      <x:c r="N6" s="7" t="n">
        <x:f>ROUND((L6+M6)*K6,2)</x:f>
        <x:v>2152934.85</x:v>
      </x:c>
      <x:c r="O6" s="7" t="n">
        <x:v>2152934.85</x:v>
      </x:c>
      <x:c r="P6" s="7" t="n">
        <x:f>ROUND(N6-O6,2)</x:f>
        <x:v>0</x:v>
      </x:c>
      <x:c r="Q6" s="7" t="n">
        <x:f>SUMIFS('个人结果'!$I$6:$I$125,'个人结果'!$A$6:$A$125,A6,'个人结果'!$B$6:$B$125,B6,'个人结果'!$D$6:$D$125,D6)</x:f>
        <x:v>784456.0000000001</x:v>
      </x:c>
      <x:c r="R6" s="7" t="n">
        <x:f>SUMIFS('个人结果'!$J$6:$J$125,'个人结果'!$A$6:$A$125,A6,'个人结果'!$B$6:$B$125,B6,'个人结果'!$D$6:$D$125,D6)</x:f>
        <x:v>1368478.85</x:v>
      </x:c>
      <x:c r="S6" s="7" t="n">
        <x:f>SUMIFS('个人结果'!$K$6:$K$125,'个人结果'!$A$6:$A$125,A6,'个人结果'!$B$6:$B$125,B6,'个人结果'!$D$6:$D$125,D6)</x:f>
        <x:v>0</x:v>
      </x:c>
      <x:c r="T6" s="7" t="n">
        <x:f>SUMIFS('个人结果'!$L$6:$L$125,'个人结果'!$A$6:$A$125,A6,'个人结果'!$B$6:$B$125,B6,'个人结果'!$D$6:$D$125,D6)</x:f>
        <x:v>0</x:v>
      </x:c>
    </x:row>
    <x:row r="7" ht="22" customHeight="1">
      <x:c r="A7" s="7" t="str">
        <x:v>QUARTER</x:v>
      </x:c>
      <x:c r="B7" s="7" t="str">
        <x:v>R0</x:v>
      </x:c>
      <x:c r="C7" s="7" t="str">
        <x:v>Q3</x:v>
      </x:c>
      <x:c r="D7" s="7" t="str">
        <x:v>D02</x:v>
      </x:c>
      <x:c r="E7" s="7" t="str">
        <x:v>行业业务部</x:v>
      </x:c>
      <x:c r="F7" s="7" t="n">
        <x:v>19316000</x:v>
      </x:c>
      <x:c r="G7" s="7" t="n">
        <x:v>2154460</x:v>
      </x:c>
      <x:c r="H7" s="7" t="n">
        <x:v>16423110</x:v>
      </x:c>
      <x:c r="I7" s="7" t="n">
        <x:v>20000000</x:v>
      </x:c>
      <x:c r="J7" s="10" t="n">
        <x:f>F7/I7</x:f>
        <x:v>0.9658</x:v>
      </x:c>
      <x:c r="K7" s="10" t="n">
        <x:f>IF(J7&gt;='参数'!$B$30,'参数'!$B$31,IF(J7&gt;='参数'!$B$28,'参数'!$B$29,'参数'!$B$27))</x:f>
        <x:v>1</x:v>
      </x:c>
      <x:c r="L7" s="7" t="n">
        <x:f>H7*IF(H7&gt;='参数'!$B$18,'参数'!$B$19,IF(H7&gt;='参数'!$B$16,'参数'!$B$17,'参数'!$B$15))</x:f>
        <x:v>1642311</x:v>
      </x:c>
      <x:c r="M7" s="7" t="n">
        <x:f>MAX(G7,0)*'参数'!$B$8</x:f>
        <x:v>107723</x:v>
      </x:c>
      <x:c r="N7" s="7" t="n">
        <x:f>ROUND((L7+M7)*K7,2)</x:f>
        <x:v>1750034</x:v>
      </x:c>
      <x:c r="O7" s="7" t="n">
        <x:v>1750034</x:v>
      </x:c>
      <x:c r="P7" s="7" t="n">
        <x:f>ROUND(N7-O7,2)</x:f>
        <x:v>0</x:v>
      </x:c>
      <x:c r="Q7" s="7" t="n">
        <x:f>SUMIFS('个人结果'!$I$6:$I$125,'个人结果'!$A$6:$A$125,A7,'个人结果'!$B$6:$B$125,B7,'个人结果'!$D$6:$D$125,D7)</x:f>
        <x:v>397104.70999999996</x:v>
      </x:c>
      <x:c r="R7" s="7" t="n">
        <x:f>SUMIFS('个人结果'!$J$6:$J$125,'个人结果'!$A$6:$A$125,A7,'个人结果'!$B$6:$B$125,B7,'个人结果'!$D$6:$D$125,D7)</x:f>
        <x:v>1352929.29</x:v>
      </x:c>
      <x:c r="S7" s="7" t="n">
        <x:f>SUMIFS('个人结果'!$K$6:$K$125,'个人结果'!$A$6:$A$125,A7,'个人结果'!$B$6:$B$125,B7,'个人结果'!$D$6:$D$125,D7)</x:f>
        <x:v>0</x:v>
      </x:c>
      <x:c r="T7" s="7" t="n">
        <x:f>SUMIFS('个人结果'!$L$6:$L$125,'个人结果'!$A$6:$A$125,A7,'个人结果'!$B$6:$B$125,B7,'个人结果'!$D$6:$D$125,D7)</x:f>
        <x:v>0</x:v>
      </x:c>
    </x:row>
    <x:row r="8" ht="22" customHeight="1">
      <x:c r="A8" s="7" t="str">
        <x:v>QUARTER</x:v>
      </x:c>
      <x:c r="B8" s="7" t="str">
        <x:v>R1</x:v>
      </x:c>
      <x:c r="C8" s="7" t="str">
        <x:v>Q3</x:v>
      </x:c>
      <x:c r="D8" s="7" t="str">
        <x:v>D01</x:v>
      </x:c>
      <x:c r="E8" s="7" t="str">
        <x:v>企业业务部</x:v>
      </x:c>
      <x:c r="F8" s="7" t="n">
        <x:v>21659000</x:v>
      </x:c>
      <x:c r="G8" s="7" t="n">
        <x:v>2496230</x:v>
      </x:c>
      <x:c r="H8" s="7" t="n">
        <x:v>18324020</x:v>
      </x:c>
      <x:c r="I8" s="7" t="n">
        <x:v>18000000</x:v>
      </x:c>
      <x:c r="J8" s="10" t="n">
        <x:f>F8/I8</x:f>
        <x:v>1.2032777777777777</x:v>
      </x:c>
      <x:c r="K8" s="10" t="n">
        <x:f>IF(J8&gt;='参数'!$B$30,'参数'!$B$31,IF(J8&gt;='参数'!$B$28,'参数'!$B$29,'参数'!$B$27))</x:f>
        <x:v>1.1</x:v>
      </x:c>
      <x:c r="L8" s="7" t="n">
        <x:f>H8*IF(H8&gt;='参数'!$B$18,'参数'!$B$19,IF(H8&gt;='参数'!$B$16,'参数'!$B$17,'参数'!$B$15))</x:f>
        <x:v>1832402</x:v>
      </x:c>
      <x:c r="M8" s="7" t="n">
        <x:f>MAX(G8,0)*'参数'!$B$8</x:f>
        <x:v>124811.5</x:v>
      </x:c>
      <x:c r="N8" s="7" t="n">
        <x:f>ROUND((L8+M8)*K8,2)</x:f>
        <x:v>2152934.85</x:v>
      </x:c>
      <x:c r="O8" s="7" t="n">
        <x:v>2152934.85</x:v>
      </x:c>
      <x:c r="P8" s="7" t="n">
        <x:f>ROUND(N8-O8,2)</x:f>
        <x:v>0</x:v>
      </x:c>
      <x:c r="Q8" s="7" t="n">
        <x:f>SUMIFS('个人结果'!$I$6:$I$125,'个人结果'!$A$6:$A$125,A8,'个人结果'!$B$6:$B$125,B8,'个人结果'!$D$6:$D$125,D8)</x:f>
        <x:v>785492.0599999999</x:v>
      </x:c>
      <x:c r="R8" s="7" t="n">
        <x:f>SUMIFS('个人结果'!$J$6:$J$125,'个人结果'!$A$6:$A$125,A8,'个人结果'!$B$6:$B$125,B8,'个人结果'!$D$6:$D$125,D8)</x:f>
        <x:v>1367442.7900000003</x:v>
      </x:c>
      <x:c r="S8" s="7" t="n">
        <x:f>SUMIFS('个人结果'!$K$6:$K$125,'个人结果'!$A$6:$A$125,A8,'个人结果'!$B$6:$B$125,B8,'个人结果'!$D$6:$D$125,D8)</x:f>
        <x:v>0</x:v>
      </x:c>
      <x:c r="T8" s="7" t="n">
        <x:f>SUMIFS('个人结果'!$L$6:$L$125,'个人结果'!$A$6:$A$125,A8,'个人结果'!$B$6:$B$125,B8,'个人结果'!$D$6:$D$125,D8)</x:f>
        <x:v>0</x:v>
      </x:c>
    </x:row>
    <x:row r="9" ht="22" customHeight="1">
      <x:c r="A9" s="7" t="str">
        <x:v>QUARTER</x:v>
      </x:c>
      <x:c r="B9" s="7" t="str">
        <x:v>R1</x:v>
      </x:c>
      <x:c r="C9" s="7" t="str">
        <x:v>Q3</x:v>
      </x:c>
      <x:c r="D9" s="7" t="str">
        <x:v>D02</x:v>
      </x:c>
      <x:c r="E9" s="7" t="str">
        <x:v>行业业务部</x:v>
      </x:c>
      <x:c r="F9" s="7" t="n">
        <x:v>19316000</x:v>
      </x:c>
      <x:c r="G9" s="7" t="n">
        <x:v>2154460</x:v>
      </x:c>
      <x:c r="H9" s="7" t="n">
        <x:v>16423110</x:v>
      </x:c>
      <x:c r="I9" s="7" t="n">
        <x:v>20000000</x:v>
      </x:c>
      <x:c r="J9" s="10" t="n">
        <x:f>F9/I9</x:f>
        <x:v>0.9658</x:v>
      </x:c>
      <x:c r="K9" s="10" t="n">
        <x:f>IF(J9&gt;='参数'!$B$30,'参数'!$B$31,IF(J9&gt;='参数'!$B$28,'参数'!$B$29,'参数'!$B$27))</x:f>
        <x:v>1</x:v>
      </x:c>
      <x:c r="L9" s="7" t="n">
        <x:f>H9*IF(H9&gt;='参数'!$B$18,'参数'!$B$19,IF(H9&gt;='参数'!$B$16,'参数'!$B$17,'参数'!$B$15))</x:f>
        <x:v>1642311</x:v>
      </x:c>
      <x:c r="M9" s="7" t="n">
        <x:f>MAX(G9,0)*'参数'!$B$8</x:f>
        <x:v>107723</x:v>
      </x:c>
      <x:c r="N9" s="7" t="n">
        <x:f>ROUND((L9+M9)*K9,2)</x:f>
        <x:v>1750034</x:v>
      </x:c>
      <x:c r="O9" s="7" t="n">
        <x:v>1750034</x:v>
      </x:c>
      <x:c r="P9" s="7" t="n">
        <x:f>ROUND(N9-O9,2)</x:f>
        <x:v>0</x:v>
      </x:c>
      <x:c r="Q9" s="7" t="n">
        <x:f>SUMIFS('个人结果'!$I$6:$I$125,'个人结果'!$A$6:$A$125,A9,'个人结果'!$B$6:$B$125,B9,'个人结果'!$D$6:$D$125,D9)</x:f>
        <x:v>397104.70999999996</x:v>
      </x:c>
      <x:c r="R9" s="7" t="n">
        <x:f>SUMIFS('个人结果'!$J$6:$J$125,'个人结果'!$A$6:$A$125,A9,'个人结果'!$B$6:$B$125,B9,'个人结果'!$D$6:$D$125,D9)</x:f>
        <x:v>1352929.29</x:v>
      </x:c>
      <x:c r="S9" s="7" t="n">
        <x:f>SUMIFS('个人结果'!$K$6:$K$125,'个人结果'!$A$6:$A$125,A9,'个人结果'!$B$6:$B$125,B9,'个人结果'!$D$6:$D$125,D9)</x:f>
        <x:v>0</x:v>
      </x:c>
      <x:c r="T9" s="7" t="n">
        <x:f>SUMIFS('个人结果'!$L$6:$L$125,'个人结果'!$A$6:$A$125,A9,'个人结果'!$B$6:$B$125,B9,'个人结果'!$D$6:$D$125,D9)</x:f>
        <x:v>0</x:v>
      </x:c>
    </x:row>
    <x:row r="10" ht="22" customHeight="1">
      <x:c r="A10" s="7" t="str">
        <x:v>QUARTER</x:v>
      </x:c>
      <x:c r="B10" s="7" t="str">
        <x:v>R2</x:v>
      </x:c>
      <x:c r="C10" s="7" t="str">
        <x:v>Q3</x:v>
      </x:c>
      <x:c r="D10" s="7" t="str">
        <x:v>D01</x:v>
      </x:c>
      <x:c r="E10" s="7" t="str">
        <x:v>企业业务部</x:v>
      </x:c>
      <x:c r="F10" s="7" t="n">
        <x:v>21659000</x:v>
      </x:c>
      <x:c r="G10" s="7" t="n">
        <x:v>2496230</x:v>
      </x:c>
      <x:c r="H10" s="7" t="n">
        <x:v>18324020</x:v>
      </x:c>
      <x:c r="I10" s="7" t="n">
        <x:v>18000000</x:v>
      </x:c>
      <x:c r="J10" s="10" t="n">
        <x:f>F10/I10</x:f>
        <x:v>1.2032777777777777</x:v>
      </x:c>
      <x:c r="K10" s="10" t="n">
        <x:f>IF(J10&gt;='参数'!$B$30,'参数'!$B$31,IF(J10&gt;='参数'!$B$28,'参数'!$B$29,'参数'!$B$27))</x:f>
        <x:v>1.1</x:v>
      </x:c>
      <x:c r="L10" s="7" t="n">
        <x:f>H10*IF(H10&gt;='参数'!$B$18,'参数'!$B$19,IF(H10&gt;='参数'!$B$16,'参数'!$B$17,'参数'!$B$15))</x:f>
        <x:v>1832402</x:v>
      </x:c>
      <x:c r="M10" s="7" t="n">
        <x:f>MAX(G10,0)*'参数'!$B$8</x:f>
        <x:v>124811.5</x:v>
      </x:c>
      <x:c r="N10" s="7" t="n">
        <x:f>ROUND((L10+M10)*K10,2)</x:f>
        <x:v>2152934.85</x:v>
      </x:c>
      <x:c r="O10" s="7" t="n">
        <x:v>2152934.85</x:v>
      </x:c>
      <x:c r="P10" s="7" t="n">
        <x:f>ROUND(N10-O10,2)</x:f>
        <x:v>0</x:v>
      </x:c>
      <x:c r="Q10" s="7" t="n">
        <x:f>SUMIFS('个人结果'!$I$6:$I$125,'个人结果'!$A$6:$A$125,A10,'个人结果'!$B$6:$B$125,B10,'个人结果'!$D$6:$D$125,D10)</x:f>
        <x:v>782825.48</x:v>
      </x:c>
      <x:c r="R10" s="7" t="n">
        <x:f>SUMIFS('个人结果'!$J$6:$J$125,'个人结果'!$A$6:$A$125,A10,'个人结果'!$B$6:$B$125,B10,'个人结果'!$D$6:$D$125,D10)</x:f>
        <x:v>1370109.37</x:v>
      </x:c>
      <x:c r="S10" s="7" t="n">
        <x:f>SUMIFS('个人结果'!$K$6:$K$125,'个人结果'!$A$6:$A$125,A10,'个人结果'!$B$6:$B$125,B10,'个人结果'!$D$6:$D$125,D10)</x:f>
        <x:v>0</x:v>
      </x:c>
      <x:c r="T10" s="7" t="n">
        <x:f>SUMIFS('个人结果'!$L$6:$L$125,'个人结果'!$A$6:$A$125,A10,'个人结果'!$B$6:$B$125,B10,'个人结果'!$D$6:$D$125,D10)</x:f>
        <x:v>0</x:v>
      </x:c>
    </x:row>
    <x:row r="11" ht="22" customHeight="1">
      <x:c r="A11" s="7" t="str">
        <x:v>QUARTER</x:v>
      </x:c>
      <x:c r="B11" s="7" t="str">
        <x:v>R2</x:v>
      </x:c>
      <x:c r="C11" s="7" t="str">
        <x:v>Q3</x:v>
      </x:c>
      <x:c r="D11" s="7" t="str">
        <x:v>D02</x:v>
      </x:c>
      <x:c r="E11" s="7" t="str">
        <x:v>行业业务部</x:v>
      </x:c>
      <x:c r="F11" s="7" t="n">
        <x:v>19316000</x:v>
      </x:c>
      <x:c r="G11" s="7" t="n">
        <x:v>2154460</x:v>
      </x:c>
      <x:c r="H11" s="7" t="n">
        <x:v>16423110</x:v>
      </x:c>
      <x:c r="I11" s="7" t="n">
        <x:v>20000000</x:v>
      </x:c>
      <x:c r="J11" s="10" t="n">
        <x:f>F11/I11</x:f>
        <x:v>0.9658</x:v>
      </x:c>
      <x:c r="K11" s="10" t="n">
        <x:f>IF(J11&gt;='参数'!$B$30,'参数'!$B$31,IF(J11&gt;='参数'!$B$28,'参数'!$B$29,'参数'!$B$27))</x:f>
        <x:v>1</x:v>
      </x:c>
      <x:c r="L11" s="7" t="n">
        <x:f>H11*IF(H11&gt;='参数'!$B$18,'参数'!$B$19,IF(H11&gt;='参数'!$B$16,'参数'!$B$17,'参数'!$B$15))</x:f>
        <x:v>1642311</x:v>
      </x:c>
      <x:c r="M11" s="7" t="n">
        <x:f>MAX(G11,0)*'参数'!$B$8</x:f>
        <x:v>107723</x:v>
      </x:c>
      <x:c r="N11" s="7" t="n">
        <x:f>ROUND((L11+M11)*K11,2)</x:f>
        <x:v>1750034</x:v>
      </x:c>
      <x:c r="O11" s="7" t="n">
        <x:v>1750034</x:v>
      </x:c>
      <x:c r="P11" s="7" t="n">
        <x:f>ROUND(N11-O11,2)</x:f>
        <x:v>0</x:v>
      </x:c>
      <x:c r="Q11" s="7" t="n">
        <x:f>SUMIFS('个人结果'!$I$6:$I$125,'个人结果'!$A$6:$A$125,A11,'个人结果'!$B$6:$B$125,B11,'个人结果'!$D$6:$D$125,D11)</x:f>
        <x:v>397104.70999999996</x:v>
      </x:c>
      <x:c r="R11" s="7" t="n">
        <x:f>SUMIFS('个人结果'!$J$6:$J$125,'个人结果'!$A$6:$A$125,A11,'个人结果'!$B$6:$B$125,B11,'个人结果'!$D$6:$D$125,D11)</x:f>
        <x:v>1352929.29</x:v>
      </x:c>
      <x:c r="S11" s="7" t="n">
        <x:f>SUMIFS('个人结果'!$K$6:$K$125,'个人结果'!$A$6:$A$125,A11,'个人结果'!$B$6:$B$125,B11,'个人结果'!$D$6:$D$125,D11)</x:f>
        <x:v>0</x:v>
      </x:c>
      <x:c r="T11" s="7" t="n">
        <x:f>SUMIFS('个人结果'!$L$6:$L$125,'个人结果'!$A$6:$A$125,A11,'个人结果'!$B$6:$B$125,B11,'个人结果'!$D$6:$D$125,D11)</x:f>
        <x:v>0</x:v>
      </x:c>
    </x:row>
    <x:row r="12" ht="22" customHeight="1">
      <x:c r="A12" s="7" t="str">
        <x:v>PROCESS</x:v>
      </x:c>
      <x:c r="B12" s="7" t="str">
        <x:v>R0</x:v>
      </x:c>
      <x:c r="C12" s="7" t="str">
        <x:v>Q3</x:v>
      </x:c>
      <x:c r="D12" s="7" t="str">
        <x:v>D01</x:v>
      </x:c>
      <x:c r="E12" s="7" t="str">
        <x:v>企业业务部</x:v>
      </x:c>
      <x:c r="F12" s="7" t="n">
        <x:v>21659000</x:v>
      </x:c>
      <x:c r="G12" s="7" t="n">
        <x:v>2496230</x:v>
      </x:c>
      <x:c r="H12" s="7" t="n">
        <x:v>18324020</x:v>
      </x:c>
      <x:c r="I12" s="7" t="n">
        <x:v>18000000</x:v>
      </x:c>
      <x:c r="J12" s="10" t="n">
        <x:f>F12/I12</x:f>
        <x:v>1.2032777777777777</x:v>
      </x:c>
      <x:c r="K12" s="10" t="n">
        <x:f>1</x:f>
        <x:v>1</x:v>
      </x:c>
      <x:c r="L12" s="7" t="n">
        <x:f>SUMIFS('项目计算'!$Q$6:$Q$113,'项目计算'!$A$6:$A$113,A12,'项目计算'!$D$6:$D$113,D12)</x:f>
        <x:v>222727.5</x:v>
      </x:c>
      <x:c r="M12" s="7" t="n">
        <x:f>0</x:f>
        <x:v>0</x:v>
      </x:c>
      <x:c r="N12" s="7" t="n">
        <x:f>ROUND((L12+M12)*K12,2)</x:f>
        <x:v>222727.5</x:v>
      </x:c>
      <x:c r="O12" s="7" t="n">
        <x:v>222727.5</x:v>
      </x:c>
      <x:c r="P12" s="7" t="n">
        <x:f>ROUND(N12-O12,2)</x:f>
        <x:v>0</x:v>
      </x:c>
      <x:c r="Q12" s="7" t="n">
        <x:f>SUMIFS('个人结果'!$I$6:$I$125,'个人结果'!$A$6:$A$125,A12,'个人结果'!$B$6:$B$125,B12,'个人结果'!$D$6:$D$125,D12)</x:f>
        <x:v>81154.3</x:v>
      </x:c>
      <x:c r="R12" s="7" t="n">
        <x:f>SUMIFS('个人结果'!$J$6:$J$125,'个人结果'!$A$6:$A$125,A12,'个人结果'!$B$6:$B$125,B12,'个人结果'!$D$6:$D$125,D12)</x:f>
        <x:v>141573.2</x:v>
      </x:c>
      <x:c r="S12" s="7" t="n">
        <x:f>SUMIFS('个人结果'!$K$6:$K$125,'个人结果'!$A$6:$A$125,A12,'个人结果'!$B$6:$B$125,B12,'个人结果'!$D$6:$D$125,D12)</x:f>
        <x:v>0</x:v>
      </x:c>
      <x:c r="T12" s="7" t="n">
        <x:f>SUMIFS('个人结果'!$L$6:$L$125,'个人结果'!$A$6:$A$125,A12,'个人结果'!$B$6:$B$125,B12,'个人结果'!$D$6:$D$125,D12)</x:f>
        <x:v>0</x:v>
      </x:c>
    </x:row>
    <x:row r="13" ht="22" customHeight="1">
      <x:c r="A13" s="7" t="str">
        <x:v>PROCESS</x:v>
      </x:c>
      <x:c r="B13" s="7" t="str">
        <x:v>R0</x:v>
      </x:c>
      <x:c r="C13" s="7" t="str">
        <x:v>Q3</x:v>
      </x:c>
      <x:c r="D13" s="7" t="str">
        <x:v>D02</x:v>
      </x:c>
      <x:c r="E13" s="7" t="str">
        <x:v>行业业务部</x:v>
      </x:c>
      <x:c r="F13" s="7" t="n">
        <x:v>19316000</x:v>
      </x:c>
      <x:c r="G13" s="7" t="n">
        <x:v>2154460</x:v>
      </x:c>
      <x:c r="H13" s="7" t="n">
        <x:v>16423110</x:v>
      </x:c>
      <x:c r="I13" s="7" t="n">
        <x:v>20000000</x:v>
      </x:c>
      <x:c r="J13" s="10" t="n">
        <x:f>F13/I13</x:f>
        <x:v>0.9658</x:v>
      </x:c>
      <x:c r="K13" s="10" t="n">
        <x:f>1</x:f>
        <x:v>1</x:v>
      </x:c>
      <x:c r="L13" s="7" t="n">
        <x:f>SUMIFS('项目计算'!$Q$6:$Q$113,'项目计算'!$A$6:$A$113,A13,'项目计算'!$D$6:$D$113,D13)</x:f>
        <x:v>233620</x:v>
      </x:c>
      <x:c r="M13" s="7" t="n">
        <x:f>0</x:f>
        <x:v>0</x:v>
      </x:c>
      <x:c r="N13" s="7" t="n">
        <x:f>ROUND((L13+M13)*K13,2)</x:f>
        <x:v>233620</x:v>
      </x:c>
      <x:c r="O13" s="7" t="n">
        <x:v>233620</x:v>
      </x:c>
      <x:c r="P13" s="7" t="n">
        <x:f>ROUND(N13-O13,2)</x:f>
        <x:v>0</x:v>
      </x:c>
      <x:c r="Q13" s="7" t="n">
        <x:f>SUMIFS('个人结果'!$I$6:$I$125,'个人结果'!$A$6:$A$125,A13,'个人结果'!$B$6:$B$125,B13,'个人结果'!$D$6:$D$125,D13)</x:f>
        <x:v>53011.32</x:v>
      </x:c>
      <x:c r="R13" s="7" t="n">
        <x:f>SUMIFS('个人结果'!$J$6:$J$125,'个人结果'!$A$6:$A$125,A13,'个人结果'!$B$6:$B$125,B13,'个人结果'!$D$6:$D$125,D13)</x:f>
        <x:v>180608.68</x:v>
      </x:c>
      <x:c r="S13" s="7" t="n">
        <x:f>SUMIFS('个人结果'!$K$6:$K$125,'个人结果'!$A$6:$A$125,A13,'个人结果'!$B$6:$B$125,B13,'个人结果'!$D$6:$D$125,D13)</x:f>
        <x:v>0</x:v>
      </x:c>
      <x:c r="T13" s="7" t="n">
        <x:f>SUMIFS('个人结果'!$L$6:$L$125,'个人结果'!$A$6:$A$125,A13,'个人结果'!$B$6:$B$125,B13,'个人结果'!$D$6:$D$125,D13)</x:f>
        <x:v>0</x:v>
      </x:c>
    </x:row>
    <x:row r="14" ht="22" customHeight="1">
      <x:c r="A14" s="7" t="str">
        <x:v>ANNUAL</x:v>
      </x:c>
      <x:c r="B14" s="7" t="str">
        <x:v>R0</x:v>
      </x:c>
      <x:c r="C14" s="7" t="str">
        <x:v>FY</x:v>
      </x:c>
      <x:c r="D14" s="7" t="str">
        <x:v>D01</x:v>
      </x:c>
      <x:c r="E14" s="7" t="str">
        <x:v>企业业务部</x:v>
      </x:c>
      <x:c r="F14" s="7" t="n">
        <x:v>81713500</x:v>
      </x:c>
      <x:c r="G14" s="7" t="n">
        <x:v>9417595</x:v>
      </x:c>
      <x:c r="H14" s="7" t="n">
        <x:v>69131530</x:v>
      </x:c>
      <x:c r="I14" s="7" t="n">
        <x:v>72000000</x:v>
      </x:c>
      <x:c r="J14" s="10" t="n">
        <x:f>F14/I14</x:f>
        <x:v>1.1349097222222222</x:v>
      </x:c>
      <x:c r="K14" s="10" t="n">
        <x:f>IF(J14&gt;='参数'!$B$30,'参数'!$B$31,IF(J14&gt;='参数'!$B$28,'参数'!$B$29,'参数'!$B$27))</x:f>
        <x:v>1.1</x:v>
      </x:c>
      <x:c r="L14" s="7" t="n">
        <x:f>MIN(H14,'参数'!$B$22)*'参数'!$B$21+MAX(MIN(H14-'参数'!$B$22,'参数'!$B$24-'参数'!$B$22),0)*'参数'!$B$23+MAX(H14-'参数'!$B$24,0)*'参数'!$B$25</x:f>
        <x:v>6213153</x:v>
      </x:c>
      <x:c r="M14" s="7" t="n">
        <x:f>MAX(G14,0)*'参数'!$B$8</x:f>
        <x:v>470879.75</x:v>
      </x:c>
      <x:c r="N14" s="7" t="n">
        <x:f>ROUND((L14+M14)*K14,2)</x:f>
        <x:v>7352436.03</x:v>
      </x:c>
      <x:c r="O14" s="7" t="n">
        <x:v>7352436.03</x:v>
      </x:c>
      <x:c r="P14" s="7" t="n">
        <x:f>ROUND(N14-O14,2)</x:f>
        <x:v>0</x:v>
      </x:c>
      <x:c r="Q14" s="7" t="n">
        <x:f>SUMIFS('个人结果'!$I$6:$I$125,'个人结果'!$A$6:$A$125,A14,'个人结果'!$B$6:$B$125,B14,'个人结果'!$D$6:$D$125,D14)</x:f>
        <x:v>2524282.59</x:v>
      </x:c>
      <x:c r="R14" s="7" t="n">
        <x:f>SUMIFS('个人结果'!$J$6:$J$125,'个人结果'!$A$6:$A$125,A14,'个人结果'!$B$6:$B$125,B14,'个人结果'!$D$6:$D$125,D14)</x:f>
        <x:v>3732069.9899999993</x:v>
      </x:c>
      <x:c r="S14" s="7" t="n">
        <x:f>SUMIFS('个人结果'!$K$6:$K$125,'个人结果'!$A$6:$A$125,A14,'个人结果'!$B$6:$B$125,B14,'个人结果'!$D$6:$D$125,D14)</x:f>
        <x:v>1177325.4800000002</x:v>
      </x:c>
      <x:c r="T14" s="7" t="n">
        <x:f>SUMIFS('个人结果'!$L$6:$L$125,'个人结果'!$A$6:$A$125,A14,'个人结果'!$B$6:$B$125,B14,'个人结果'!$D$6:$D$125,D14)</x:f>
        <x:v>81242.03000000003</x:v>
      </x:c>
    </x:row>
    <x:row r="15" ht="22" customHeight="1">
      <x:c r="A15" s="7" t="str">
        <x:v>ANNUAL</x:v>
      </x:c>
      <x:c r="B15" s="7" t="str">
        <x:v>R0</x:v>
      </x:c>
      <x:c r="C15" s="7" t="str">
        <x:v>FY</x:v>
      </x:c>
      <x:c r="D15" s="7" t="str">
        <x:v>D02</x:v>
      </x:c>
      <x:c r="E15" s="7" t="str">
        <x:v>行业业务部</x:v>
      </x:c>
      <x:c r="F15" s="7" t="n">
        <x:v>72874000</x:v>
      </x:c>
      <x:c r="G15" s="7" t="n">
        <x:v>8128190</x:v>
      </x:c>
      <x:c r="H15" s="7" t="n">
        <x:v>61959915</x:v>
      </x:c>
      <x:c r="I15" s="7" t="n">
        <x:v>80000000</x:v>
      </x:c>
      <x:c r="J15" s="10" t="n">
        <x:f>F15/I15</x:f>
        <x:v>0.910925</x:v>
      </x:c>
      <x:c r="K15" s="10" t="n">
        <x:f>IF(J15&gt;='参数'!$B$30,'参数'!$B$31,IF(J15&gt;='参数'!$B$28,'参数'!$B$29,'参数'!$B$27))</x:f>
        <x:v>1</x:v>
      </x:c>
      <x:c r="L15" s="7" t="n">
        <x:f>MIN(H15,'参数'!$B$22)*'参数'!$B$21+MAX(MIN(H15-'参数'!$B$22,'参数'!$B$24-'参数'!$B$22),0)*'参数'!$B$23+MAX(H15-'参数'!$B$24,0)*'参数'!$B$25</x:f>
        <x:v>5495991.5</x:v>
      </x:c>
      <x:c r="M15" s="7" t="n">
        <x:f>MAX(G15,0)*'参数'!$B$8</x:f>
        <x:v>406409.5</x:v>
      </x:c>
      <x:c r="N15" s="7" t="n">
        <x:f>ROUND((L15+M15)*K15,2)</x:f>
        <x:v>5902401</x:v>
      </x:c>
      <x:c r="O15" s="7" t="n">
        <x:v>5902401</x:v>
      </x:c>
      <x:c r="P15" s="7" t="n">
        <x:f>ROUND(N15-O15,2)</x:f>
        <x:v>0</x:v>
      </x:c>
      <x:c r="Q15" s="7" t="n">
        <x:f>SUMIFS('个人结果'!$I$6:$I$125,'个人结果'!$A$6:$A$125,A15,'个人结果'!$B$6:$B$125,B15,'个人结果'!$D$6:$D$125,D15)</x:f>
        <x:v>1166826.4499999997</x:v>
      </x:c>
      <x:c r="R15" s="7" t="n">
        <x:f>SUMIFS('个人结果'!$J$6:$J$125,'个人结果'!$A$6:$A$125,A15,'个人结果'!$B$6:$B$125,B15,'个人结果'!$D$6:$D$125,D15)</x:f>
        <x:v>4285169.840000001</x:v>
      </x:c>
      <x:c r="S15" s="7" t="n">
        <x:f>SUMIFS('个人结果'!$K$6:$K$125,'个人结果'!$A$6:$A$125,A15,'个人结果'!$B$6:$B$125,B15,'个人结果'!$D$6:$D$125,D15)</x:f>
        <x:v>662204.71</x:v>
      </x:c>
      <x:c r="T15" s="7" t="n">
        <x:f>SUMIFS('个人结果'!$L$6:$L$125,'个人结果'!$A$6:$A$125,A15,'个人结果'!$B$6:$B$125,B15,'个人结果'!$D$6:$D$125,D15)</x:f>
        <x:v>211800</x:v>
      </x:c>
    </x:row>
  </x:sheetData>
  <x:conditionalFormatting sqref="P6:P15">
    <x:cfRule type="cellIs" dxfId="1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cb2251004b4ae8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 ht="27" customHeight="1">
      <x:c r="A2" s="8" t="str">
        <x:v>小组分配期望结果</x:v>
      </x:c>
    </x:row>
    <x:row r="3">
      <x:c r="A3" s="9" t="str">
        <x:v>应得金额采用精确最大余数分配，完整实现见 reproduce.py。</x:v>
      </x:c>
    </x:row>
    <x:row r="5" ht="42" customHeight="1">
      <x:c r="A5" s="6" t="str">
        <x:v>方案</x:v>
      </x:c>
      <x:c r="B5" s="6" t="str">
        <x:v>修订</x:v>
      </x:c>
      <x:c r="C5" s="6" t="str">
        <x:v>周期</x:v>
      </x:c>
      <x:c r="D5" s="6" t="str">
        <x:v>部门</x:v>
      </x:c>
      <x:c r="E5" s="6" t="str">
        <x:v>小组编号</x:v>
      </x:c>
      <x:c r="F5" s="6" t="str">
        <x:v>小组</x:v>
      </x:c>
      <x:c r="G5" s="6" t="str">
        <x:v>销售额</x:v>
      </x:c>
      <x:c r="H5" s="6" t="str">
        <x:v>销售目标</x:v>
      </x:c>
      <x:c r="I5" s="6" t="str">
        <x:v>绩效评分</x:v>
      </x:c>
      <x:c r="J5" s="6" t="str">
        <x:v>原始权重</x:v>
      </x:c>
      <x:c r="K5" s="6" t="str">
        <x:v>期望应得</x:v>
      </x:c>
      <x:c r="L5" s="6" t="str">
        <x:v>人工指定</x:v>
      </x:c>
      <x:c r="M5" s="6" t="str">
        <x:v>个人应得合计</x:v>
      </x:c>
      <x:c r="N5" s="6" t="str">
        <x:v>层级差异</x:v>
      </x:c>
    </x:row>
    <x:row r="6" ht="22" customHeight="1">
      <x:c r="A6" s="7" t="str">
        <x:v>QUARTER</x:v>
      </x:c>
      <x:c r="B6" s="7" t="str">
        <x:v>R0</x:v>
      </x:c>
      <x:c r="C6" s="7" t="str">
        <x:v>Q3</x:v>
      </x:c>
      <x:c r="D6" s="7" t="str">
        <x:v>D01</x:v>
      </x:c>
      <x:c r="E6" s="7" t="str">
        <x:v>G01</x:v>
      </x:c>
      <x:c r="F6" s="7" t="str">
        <x:v>1部1组</x:v>
      </x:c>
      <x:c r="G6" s="7" t="n">
        <x:v>7623000</x:v>
      </x:c>
      <x:c r="H6" s="7" t="n">
        <x:v>7200000</x:v>
      </x:c>
      <x:c r="I6" s="7" t="n">
        <x:v>94</x:v>
      </x:c>
      <x:c r="J6" s="10" t="n">
        <x:v>0.995225</x:v>
      </x:c>
      <x:c r="K6" s="7" t="n">
        <x:v>663930.96</x:v>
      </x:c>
      <x:c r="L6" s="7"/>
      <x:c r="M6" s="7" t="n">
        <x:f>SUMIFS('个人结果'!$H$6:$H$125,'个人结果'!$A$6:$A$125,A6,'个人结果'!$B$6:$B$125,B6,'个人结果'!$E$6:$E$125,E6)</x:f>
        <x:v>663930.96</x:v>
      </x:c>
      <x:c r="N6" s="7" t="n">
        <x:f>ROUND(K6-M6,2)</x:f>
        <x:v>0</x:v>
      </x:c>
    </x:row>
    <x:row r="7" ht="22" customHeight="1">
      <x:c r="A7" s="7" t="str">
        <x:v>QUARTER</x:v>
      </x:c>
      <x:c r="B7" s="7" t="str">
        <x:v>R0</x:v>
      </x:c>
      <x:c r="C7" s="7" t="str">
        <x:v>Q3</x:v>
      </x:c>
      <x:c r="D7" s="7" t="str">
        <x:v>D01</x:v>
      </x:c>
      <x:c r="E7" s="7" t="str">
        <x:v>G02</x:v>
      </x:c>
      <x:c r="F7" s="7" t="str">
        <x:v>1部2组</x:v>
      </x:c>
      <x:c r="G7" s="7" t="n">
        <x:v>7623000</x:v>
      </x:c>
      <x:c r="H7" s="7" t="n">
        <x:v>6300000</x:v>
      </x:c>
      <x:c r="I7" s="7" t="n">
        <x:v>96</x:v>
      </x:c>
      <x:c r="J7" s="10" t="n">
        <x:v>1.152</x:v>
      </x:c>
      <x:c r="K7" s="7" t="n">
        <x:v>768518.14</x:v>
      </x:c>
      <x:c r="L7" s="7"/>
      <x:c r="M7" s="7" t="n">
        <x:f>SUMIFS('个人结果'!$H$6:$H$125,'个人结果'!$A$6:$A$125,A7,'个人结果'!$B$6:$B$125,B7,'个人结果'!$E$6:$E$125,E7)</x:f>
        <x:v>768518.14</x:v>
      </x:c>
      <x:c r="N7" s="7" t="n">
        <x:f>ROUND(K7-M7,2)</x:f>
        <x:v>0</x:v>
      </x:c>
    </x:row>
    <x:row r="8" ht="22" customHeight="1">
      <x:c r="A8" s="7" t="str">
        <x:v>QUARTER</x:v>
      </x:c>
      <x:c r="B8" s="7" t="str">
        <x:v>R0</x:v>
      </x:c>
      <x:c r="C8" s="7" t="str">
        <x:v>Q3</x:v>
      </x:c>
      <x:c r="D8" s="7" t="str">
        <x:v>D01</x:v>
      </x:c>
      <x:c r="E8" s="7" t="str">
        <x:v>G03</x:v>
      </x:c>
      <x:c r="F8" s="7" t="str">
        <x:v>1部3组</x:v>
      </x:c>
      <x:c r="G8" s="7" t="n">
        <x:v>6413000</x:v>
      </x:c>
      <x:c r="H8" s="7" t="n">
        <x:v>4500000</x:v>
      </x:c>
      <x:c r="I8" s="7" t="n">
        <x:v>90</x:v>
      </x:c>
      <x:c r="J8" s="10" t="n">
        <x:v>1.08</x:v>
      </x:c>
      <x:c r="K8" s="7" t="n">
        <x:v>720485.75</x:v>
      </x:c>
      <x:c r="L8" s="7"/>
      <x:c r="M8" s="7" t="n">
        <x:f>SUMIFS('个人结果'!$H$6:$H$125,'个人结果'!$A$6:$A$125,A8,'个人结果'!$B$6:$B$125,B8,'个人结果'!$E$6:$E$125,E8)</x:f>
        <x:v>720485.75</x:v>
      </x:c>
      <x:c r="N8" s="7" t="n">
        <x:f>ROUND(K8-M8,2)</x:f>
        <x:v>0</x:v>
      </x:c>
    </x:row>
    <x:row r="9" ht="22" customHeight="1">
      <x:c r="A9" s="7" t="str">
        <x:v>QUARTER</x:v>
      </x:c>
      <x:c r="B9" s="7" t="str">
        <x:v>R0</x:v>
      </x:c>
      <x:c r="C9" s="7" t="str">
        <x:v>Q3</x:v>
      </x:c>
      <x:c r="D9" s="7" t="str">
        <x:v>D02</x:v>
      </x:c>
      <x:c r="E9" s="7" t="str">
        <x:v>G04</x:v>
      </x:c>
      <x:c r="F9" s="7" t="str">
        <x:v>2部1组</x:v>
      </x:c>
      <x:c r="G9" s="7" t="n">
        <x:v>7458000</x:v>
      </x:c>
      <x:c r="H9" s="7" t="n">
        <x:v>8000000</x:v>
      </x:c>
      <x:c r="I9" s="7" t="n">
        <x:v>85</x:v>
      </x:c>
      <x:c r="J9" s="10" t="n">
        <x:v>0.792413</x:v>
      </x:c>
      <x:c r="K9" s="7" t="n">
        <x:v>602673.66</x:v>
      </x:c>
      <x:c r="L9" s="7"/>
      <x:c r="M9" s="7" t="n">
        <x:f>SUMIFS('个人结果'!$H$6:$H$125,'个人结果'!$A$6:$A$125,A9,'个人结果'!$B$6:$B$125,B9,'个人结果'!$E$6:$E$125,E9)</x:f>
        <x:v>602673.6599999999</x:v>
      </x:c>
      <x:c r="N9" s="7" t="n">
        <x:f>ROUND(K9-M9,2)</x:f>
        <x:v>0</x:v>
      </x:c>
    </x:row>
    <x:row r="10" ht="22" customHeight="1">
      <x:c r="A10" s="7" t="str">
        <x:v>QUARTER</x:v>
      </x:c>
      <x:c r="B10" s="7" t="str">
        <x:v>R0</x:v>
      </x:c>
      <x:c r="C10" s="7" t="str">
        <x:v>Q3</x:v>
      </x:c>
      <x:c r="D10" s="7" t="str">
        <x:v>D02</x:v>
      </x:c>
      <x:c r="E10" s="7" t="str">
        <x:v>G05</x:v>
      </x:c>
      <x:c r="F10" s="7" t="str">
        <x:v>2部2组</x:v>
      </x:c>
      <x:c r="G10" s="7" t="n">
        <x:v>4532000</x:v>
      </x:c>
      <x:c r="H10" s="7" t="n">
        <x:v>7000000</x:v>
      </x:c>
      <x:c r="I10" s="7" t="n">
        <x:v>94</x:v>
      </x:c>
      <x:c r="J10" s="10" t="n">
        <x:v>0.608583</x:v>
      </x:c>
      <x:c r="K10" s="7" t="n">
        <x:v>462860.84</x:v>
      </x:c>
      <x:c r="L10" s="7"/>
      <x:c r="M10" s="7" t="n">
        <x:f>SUMIFS('个人结果'!$H$6:$H$125,'个人结果'!$A$6:$A$125,A10,'个人结果'!$B$6:$B$125,B10,'个人结果'!$E$6:$E$125,E10)</x:f>
        <x:v>462860.84</x:v>
      </x:c>
      <x:c r="N10" s="7" t="n">
        <x:f>ROUND(K10-M10,2)</x:f>
        <x:v>0</x:v>
      </x:c>
    </x:row>
    <x:row r="11" ht="22" customHeight="1">
      <x:c r="A11" s="7" t="str">
        <x:v>QUARTER</x:v>
      </x:c>
      <x:c r="B11" s="7" t="str">
        <x:v>R0</x:v>
      </x:c>
      <x:c r="C11" s="7" t="str">
        <x:v>Q3</x:v>
      </x:c>
      <x:c r="D11" s="7" t="str">
        <x:v>D02</x:v>
      </x:c>
      <x:c r="E11" s="7" t="str">
        <x:v>G06</x:v>
      </x:c>
      <x:c r="F11" s="7" t="str">
        <x:v>2部3组</x:v>
      </x:c>
      <x:c r="G11" s="7" t="n">
        <x:v>7326000</x:v>
      </x:c>
      <x:c r="H11" s="7" t="n">
        <x:v>5000000</x:v>
      </x:c>
      <x:c r="I11" s="7" t="n">
        <x:v>75</x:v>
      </x:c>
      <x:c r="J11" s="10" t="n">
        <x:v>0.9</x:v>
      </x:c>
      <x:c r="K11" s="7" t="n">
        <x:v>684499.5</x:v>
      </x:c>
      <x:c r="L11" s="7"/>
      <x:c r="M11" s="7" t="n">
        <x:f>SUMIFS('个人结果'!$H$6:$H$125,'个人结果'!$A$6:$A$125,A11,'个人结果'!$B$6:$B$125,B11,'个人结果'!$E$6:$E$125,E11)</x:f>
        <x:v>684499.5</x:v>
      </x:c>
      <x:c r="N11" s="7" t="n">
        <x:f>ROUND(K11-M11,2)</x:f>
        <x:v>0</x:v>
      </x:c>
    </x:row>
    <x:row r="12" ht="22" customHeight="1">
      <x:c r="A12" s="7" t="str">
        <x:v>QUARTER</x:v>
      </x:c>
      <x:c r="B12" s="7" t="str">
        <x:v>R1</x:v>
      </x:c>
      <x:c r="C12" s="7" t="str">
        <x:v>Q3</x:v>
      </x:c>
      <x:c r="D12" s="7" t="str">
        <x:v>D01</x:v>
      </x:c>
      <x:c r="E12" s="7" t="str">
        <x:v>G01</x:v>
      </x:c>
      <x:c r="F12" s="7" t="str">
        <x:v>1部1组</x:v>
      </x:c>
      <x:c r="G12" s="7" t="n">
        <x:v>7623000</x:v>
      </x:c>
      <x:c r="H12" s="7" t="n">
        <x:v>7200000</x:v>
      </x:c>
      <x:c r="I12" s="7" t="n">
        <x:v>94</x:v>
      </x:c>
      <x:c r="J12" s="10" t="n">
        <x:v>0.995225</x:v>
      </x:c>
      <x:c r="K12" s="7" t="n">
        <x:v>900000</x:v>
      </x:c>
      <x:c r="L12" s="7" t="n">
        <x:v>900000</x:v>
      </x:c>
      <x:c r="M12" s="7" t="n">
        <x:f>SUMIFS('个人结果'!$H$6:$H$125,'个人结果'!$A$6:$A$125,A12,'个人结果'!$B$6:$B$125,B12,'个人结果'!$E$6:$E$125,E12)</x:f>
        <x:v>900000</x:v>
      </x:c>
      <x:c r="N12" s="7" t="n">
        <x:f>ROUND(K12-M12,2)</x:f>
        <x:v>0</x:v>
      </x:c>
    </x:row>
    <x:row r="13" ht="22" customHeight="1">
      <x:c r="A13" s="7" t="str">
        <x:v>QUARTER</x:v>
      </x:c>
      <x:c r="B13" s="7" t="str">
        <x:v>R1</x:v>
      </x:c>
      <x:c r="C13" s="7" t="str">
        <x:v>Q3</x:v>
      </x:c>
      <x:c r="D13" s="7" t="str">
        <x:v>D01</x:v>
      </x:c>
      <x:c r="E13" s="7" t="str">
        <x:v>G02</x:v>
      </x:c>
      <x:c r="F13" s="7" t="str">
        <x:v>1部2组</x:v>
      </x:c>
      <x:c r="G13" s="7" t="n">
        <x:v>7623000</x:v>
      </x:c>
      <x:c r="H13" s="7" t="n">
        <x:v>6300000</x:v>
      </x:c>
      <x:c r="I13" s="7" t="n">
        <x:v>96</x:v>
      </x:c>
      <x:c r="J13" s="10" t="n">
        <x:v>1.152</x:v>
      </x:c>
      <x:c r="K13" s="7" t="n">
        <x:v>646676.05</x:v>
      </x:c>
      <x:c r="L13" s="7"/>
      <x:c r="M13" s="7" t="n">
        <x:f>SUMIFS('个人结果'!$H$6:$H$125,'个人结果'!$A$6:$A$125,A13,'个人结果'!$B$6:$B$125,B13,'个人结果'!$E$6:$E$125,E13)</x:f>
        <x:v>646676.05</x:v>
      </x:c>
      <x:c r="N13" s="7" t="n">
        <x:f>ROUND(K13-M13,2)</x:f>
        <x:v>0</x:v>
      </x:c>
    </x:row>
    <x:row r="14" ht="22" customHeight="1">
      <x:c r="A14" s="7" t="str">
        <x:v>QUARTER</x:v>
      </x:c>
      <x:c r="B14" s="7" t="str">
        <x:v>R1</x:v>
      </x:c>
      <x:c r="C14" s="7" t="str">
        <x:v>Q3</x:v>
      </x:c>
      <x:c r="D14" s="7" t="str">
        <x:v>D01</x:v>
      </x:c>
      <x:c r="E14" s="7" t="str">
        <x:v>G03</x:v>
      </x:c>
      <x:c r="F14" s="7" t="str">
        <x:v>1部3组</x:v>
      </x:c>
      <x:c r="G14" s="7" t="n">
        <x:v>6413000</x:v>
      </x:c>
      <x:c r="H14" s="7" t="n">
        <x:v>4500000</x:v>
      </x:c>
      <x:c r="I14" s="7" t="n">
        <x:v>90</x:v>
      </x:c>
      <x:c r="J14" s="10" t="n">
        <x:v>1.08</x:v>
      </x:c>
      <x:c r="K14" s="7" t="n">
        <x:v>606258.8</x:v>
      </x:c>
      <x:c r="L14" s="7"/>
      <x:c r="M14" s="7" t="n">
        <x:f>SUMIFS('个人结果'!$H$6:$H$125,'个人结果'!$A$6:$A$125,A14,'个人结果'!$B$6:$B$125,B14,'个人结果'!$E$6:$E$125,E14)</x:f>
        <x:v>606258.8</x:v>
      </x:c>
      <x:c r="N14" s="7" t="n">
        <x:f>ROUND(K14-M14,2)</x:f>
        <x:v>0</x:v>
      </x:c>
    </x:row>
    <x:row r="15" ht="22" customHeight="1">
      <x:c r="A15" s="7" t="str">
        <x:v>QUARTER</x:v>
      </x:c>
      <x:c r="B15" s="7" t="str">
        <x:v>R1</x:v>
      </x:c>
      <x:c r="C15" s="7" t="str">
        <x:v>Q3</x:v>
      </x:c>
      <x:c r="D15" s="7" t="str">
        <x:v>D02</x:v>
      </x:c>
      <x:c r="E15" s="7" t="str">
        <x:v>G04</x:v>
      </x:c>
      <x:c r="F15" s="7" t="str">
        <x:v>2部1组</x:v>
      </x:c>
      <x:c r="G15" s="7" t="n">
        <x:v>7458000</x:v>
      </x:c>
      <x:c r="H15" s="7" t="n">
        <x:v>8000000</x:v>
      </x:c>
      <x:c r="I15" s="7" t="n">
        <x:v>85</x:v>
      </x:c>
      <x:c r="J15" s="10" t="n">
        <x:v>0.792413</x:v>
      </x:c>
      <x:c r="K15" s="7" t="n">
        <x:v>602673.66</x:v>
      </x:c>
      <x:c r="L15" s="7"/>
      <x:c r="M15" s="7" t="n">
        <x:f>SUMIFS('个人结果'!$H$6:$H$125,'个人结果'!$A$6:$A$125,A15,'个人结果'!$B$6:$B$125,B15,'个人结果'!$E$6:$E$125,E15)</x:f>
        <x:v>602673.6599999999</x:v>
      </x:c>
      <x:c r="N15" s="7" t="n">
        <x:f>ROUND(K15-M15,2)</x:f>
        <x:v>0</x:v>
      </x:c>
    </x:row>
    <x:row r="16" ht="22" customHeight="1">
      <x:c r="A16" s="7" t="str">
        <x:v>QUARTER</x:v>
      </x:c>
      <x:c r="B16" s="7" t="str">
        <x:v>R1</x:v>
      </x:c>
      <x:c r="C16" s="7" t="str">
        <x:v>Q3</x:v>
      </x:c>
      <x:c r="D16" s="7" t="str">
        <x:v>D02</x:v>
      </x:c>
      <x:c r="E16" s="7" t="str">
        <x:v>G05</x:v>
      </x:c>
      <x:c r="F16" s="7" t="str">
        <x:v>2部2组</x:v>
      </x:c>
      <x:c r="G16" s="7" t="n">
        <x:v>4532000</x:v>
      </x:c>
      <x:c r="H16" s="7" t="n">
        <x:v>7000000</x:v>
      </x:c>
      <x:c r="I16" s="7" t="n">
        <x:v>94</x:v>
      </x:c>
      <x:c r="J16" s="10" t="n">
        <x:v>0.608583</x:v>
      </x:c>
      <x:c r="K16" s="7" t="n">
        <x:v>462860.84</x:v>
      </x:c>
      <x:c r="L16" s="7"/>
      <x:c r="M16" s="7" t="n">
        <x:f>SUMIFS('个人结果'!$H$6:$H$125,'个人结果'!$A$6:$A$125,A16,'个人结果'!$B$6:$B$125,B16,'个人结果'!$E$6:$E$125,E16)</x:f>
        <x:v>462860.84</x:v>
      </x:c>
      <x:c r="N16" s="7" t="n">
        <x:f>ROUND(K16-M16,2)</x:f>
        <x:v>0</x:v>
      </x:c>
    </x:row>
    <x:row r="17" ht="22" customHeight="1">
      <x:c r="A17" s="7" t="str">
        <x:v>QUARTER</x:v>
      </x:c>
      <x:c r="B17" s="7" t="str">
        <x:v>R1</x:v>
      </x:c>
      <x:c r="C17" s="7" t="str">
        <x:v>Q3</x:v>
      </x:c>
      <x:c r="D17" s="7" t="str">
        <x:v>D02</x:v>
      </x:c>
      <x:c r="E17" s="7" t="str">
        <x:v>G06</x:v>
      </x:c>
      <x:c r="F17" s="7" t="str">
        <x:v>2部3组</x:v>
      </x:c>
      <x:c r="G17" s="7" t="n">
        <x:v>7326000</x:v>
      </x:c>
      <x:c r="H17" s="7" t="n">
        <x:v>5000000</x:v>
      </x:c>
      <x:c r="I17" s="7" t="n">
        <x:v>75</x:v>
      </x:c>
      <x:c r="J17" s="10" t="n">
        <x:v>0.9</x:v>
      </x:c>
      <x:c r="K17" s="7" t="n">
        <x:v>684499.5</x:v>
      </x:c>
      <x:c r="L17" s="7"/>
      <x:c r="M17" s="7" t="n">
        <x:f>SUMIFS('个人结果'!$H$6:$H$125,'个人结果'!$A$6:$A$125,A17,'个人结果'!$B$6:$B$125,B17,'个人结果'!$E$6:$E$125,E17)</x:f>
        <x:v>684499.5</x:v>
      </x:c>
      <x:c r="N17" s="7" t="n">
        <x:f>ROUND(K17-M17,2)</x:f>
        <x:v>0</x:v>
      </x:c>
    </x:row>
    <x:row r="18" ht="22" customHeight="1">
      <x:c r="A18" s="7" t="str">
        <x:v>QUARTER</x:v>
      </x:c>
      <x:c r="B18" s="7" t="str">
        <x:v>R2</x:v>
      </x:c>
      <x:c r="C18" s="7" t="str">
        <x:v>Q3</x:v>
      </x:c>
      <x:c r="D18" s="7" t="str">
        <x:v>D01</x:v>
      </x:c>
      <x:c r="E18" s="7" t="str">
        <x:v>G01</x:v>
      </x:c>
      <x:c r="F18" s="7" t="str">
        <x:v>1部1组</x:v>
      </x:c>
      <x:c r="G18" s="7" t="n">
        <x:v>7623000</x:v>
      </x:c>
      <x:c r="H18" s="7" t="n">
        <x:v>7200000</x:v>
      </x:c>
      <x:c r="I18" s="7" t="n">
        <x:v>94</x:v>
      </x:c>
      <x:c r="J18" s="10" t="n">
        <x:v>0.995225</x:v>
      </x:c>
      <x:c r="K18" s="7" t="n">
        <x:v>900000</x:v>
      </x:c>
      <x:c r="L18" s="7" t="n">
        <x:v>900000</x:v>
      </x:c>
      <x:c r="M18" s="7" t="n">
        <x:f>SUMIFS('个人结果'!$H$6:$H$125,'个人结果'!$A$6:$A$125,A18,'个人结果'!$B$6:$B$125,B18,'个人结果'!$E$6:$E$125,E18)</x:f>
        <x:v>900000</x:v>
      </x:c>
      <x:c r="N18" s="7" t="n">
        <x:f>ROUND(K18-M18,2)</x:f>
        <x:v>0</x:v>
      </x:c>
    </x:row>
    <x:row r="19" ht="22" customHeight="1">
      <x:c r="A19" s="7" t="str">
        <x:v>QUARTER</x:v>
      </x:c>
      <x:c r="B19" s="7" t="str">
        <x:v>R2</x:v>
      </x:c>
      <x:c r="C19" s="7" t="str">
        <x:v>Q3</x:v>
      </x:c>
      <x:c r="D19" s="7" t="str">
        <x:v>D01</x:v>
      </x:c>
      <x:c r="E19" s="7" t="str">
        <x:v>G02</x:v>
      </x:c>
      <x:c r="F19" s="7" t="str">
        <x:v>1部2组</x:v>
      </x:c>
      <x:c r="G19" s="7" t="n">
        <x:v>7623000</x:v>
      </x:c>
      <x:c r="H19" s="7" t="n">
        <x:v>6300000</x:v>
      </x:c>
      <x:c r="I19" s="7" t="n">
        <x:v>96</x:v>
      </x:c>
      <x:c r="J19" s="10" t="n">
        <x:v>1.152</x:v>
      </x:c>
      <x:c r="K19" s="7" t="n">
        <x:v>646676.05</x:v>
      </x:c>
      <x:c r="L19" s="7"/>
      <x:c r="M19" s="7" t="n">
        <x:f>SUMIFS('个人结果'!$H$6:$H$125,'个人结果'!$A$6:$A$125,A19,'个人结果'!$B$6:$B$125,B19,'个人结果'!$E$6:$E$125,E19)</x:f>
        <x:v>646676.05</x:v>
      </x:c>
      <x:c r="N19" s="7" t="n">
        <x:f>ROUND(K19-M19,2)</x:f>
        <x:v>0</x:v>
      </x:c>
    </x:row>
    <x:row r="20" ht="22" customHeight="1">
      <x:c r="A20" s="7" t="str">
        <x:v>QUARTER</x:v>
      </x:c>
      <x:c r="B20" s="7" t="str">
        <x:v>R2</x:v>
      </x:c>
      <x:c r="C20" s="7" t="str">
        <x:v>Q3</x:v>
      </x:c>
      <x:c r="D20" s="7" t="str">
        <x:v>D01</x:v>
      </x:c>
      <x:c r="E20" s="7" t="str">
        <x:v>G03</x:v>
      </x:c>
      <x:c r="F20" s="7" t="str">
        <x:v>1部3组</x:v>
      </x:c>
      <x:c r="G20" s="7" t="n">
        <x:v>6413000</x:v>
      </x:c>
      <x:c r="H20" s="7" t="n">
        <x:v>4500000</x:v>
      </x:c>
      <x:c r="I20" s="7" t="n">
        <x:v>90</x:v>
      </x:c>
      <x:c r="J20" s="10" t="n">
        <x:v>1.08</x:v>
      </x:c>
      <x:c r="K20" s="7" t="n">
        <x:v>606258.8</x:v>
      </x:c>
      <x:c r="L20" s="7"/>
      <x:c r="M20" s="7" t="n">
        <x:f>SUMIFS('个人结果'!$H$6:$H$125,'个人结果'!$A$6:$A$125,A20,'个人结果'!$B$6:$B$125,B20,'个人结果'!$E$6:$E$125,E20)</x:f>
        <x:v>606258.8</x:v>
      </x:c>
      <x:c r="N20" s="7" t="n">
        <x:f>ROUND(K20-M20,2)</x:f>
        <x:v>0</x:v>
      </x:c>
    </x:row>
    <x:row r="21" ht="22" customHeight="1">
      <x:c r="A21" s="7" t="str">
        <x:v>QUARTER</x:v>
      </x:c>
      <x:c r="B21" s="7" t="str">
        <x:v>R2</x:v>
      </x:c>
      <x:c r="C21" s="7" t="str">
        <x:v>Q3</x:v>
      </x:c>
      <x:c r="D21" s="7" t="str">
        <x:v>D02</x:v>
      </x:c>
      <x:c r="E21" s="7" t="str">
        <x:v>G04</x:v>
      </x:c>
      <x:c r="F21" s="7" t="str">
        <x:v>2部1组</x:v>
      </x:c>
      <x:c r="G21" s="7" t="n">
        <x:v>7458000</x:v>
      </x:c>
      <x:c r="H21" s="7" t="n">
        <x:v>8000000</x:v>
      </x:c>
      <x:c r="I21" s="7" t="n">
        <x:v>85</x:v>
      </x:c>
      <x:c r="J21" s="10" t="n">
        <x:v>0.792413</x:v>
      </x:c>
      <x:c r="K21" s="7" t="n">
        <x:v>602673.66</x:v>
      </x:c>
      <x:c r="L21" s="7"/>
      <x:c r="M21" s="7" t="n">
        <x:f>SUMIFS('个人结果'!$H$6:$H$125,'个人结果'!$A$6:$A$125,A21,'个人结果'!$B$6:$B$125,B21,'个人结果'!$E$6:$E$125,E21)</x:f>
        <x:v>602673.6599999999</x:v>
      </x:c>
      <x:c r="N21" s="7" t="n">
        <x:f>ROUND(K21-M21,2)</x:f>
        <x:v>0</x:v>
      </x:c>
    </x:row>
    <x:row r="22" ht="22" customHeight="1">
      <x:c r="A22" s="7" t="str">
        <x:v>QUARTER</x:v>
      </x:c>
      <x:c r="B22" s="7" t="str">
        <x:v>R2</x:v>
      </x:c>
      <x:c r="C22" s="7" t="str">
        <x:v>Q3</x:v>
      </x:c>
      <x:c r="D22" s="7" t="str">
        <x:v>D02</x:v>
      </x:c>
      <x:c r="E22" s="7" t="str">
        <x:v>G05</x:v>
      </x:c>
      <x:c r="F22" s="7" t="str">
        <x:v>2部2组</x:v>
      </x:c>
      <x:c r="G22" s="7" t="n">
        <x:v>4532000</x:v>
      </x:c>
      <x:c r="H22" s="7" t="n">
        <x:v>7000000</x:v>
      </x:c>
      <x:c r="I22" s="7" t="n">
        <x:v>94</x:v>
      </x:c>
      <x:c r="J22" s="10" t="n">
        <x:v>0.608583</x:v>
      </x:c>
      <x:c r="K22" s="7" t="n">
        <x:v>462860.84</x:v>
      </x:c>
      <x:c r="L22" s="7"/>
      <x:c r="M22" s="7" t="n">
        <x:f>SUMIFS('个人结果'!$H$6:$H$125,'个人结果'!$A$6:$A$125,A22,'个人结果'!$B$6:$B$125,B22,'个人结果'!$E$6:$E$125,E22)</x:f>
        <x:v>462860.84</x:v>
      </x:c>
      <x:c r="N22" s="7" t="n">
        <x:f>ROUND(K22-M22,2)</x:f>
        <x:v>0</x:v>
      </x:c>
    </x:row>
    <x:row r="23" ht="22" customHeight="1">
      <x:c r="A23" s="7" t="str">
        <x:v>QUARTER</x:v>
      </x:c>
      <x:c r="B23" s="7" t="str">
        <x:v>R2</x:v>
      </x:c>
      <x:c r="C23" s="7" t="str">
        <x:v>Q3</x:v>
      </x:c>
      <x:c r="D23" s="7" t="str">
        <x:v>D02</x:v>
      </x:c>
      <x:c r="E23" s="7" t="str">
        <x:v>G06</x:v>
      </x:c>
      <x:c r="F23" s="7" t="str">
        <x:v>2部3组</x:v>
      </x:c>
      <x:c r="G23" s="7" t="n">
        <x:v>7326000</x:v>
      </x:c>
      <x:c r="H23" s="7" t="n">
        <x:v>5000000</x:v>
      </x:c>
      <x:c r="I23" s="7" t="n">
        <x:v>75</x:v>
      </x:c>
      <x:c r="J23" s="10" t="n">
        <x:v>0.9</x:v>
      </x:c>
      <x:c r="K23" s="7" t="n">
        <x:v>684499.5</x:v>
      </x:c>
      <x:c r="L23" s="7"/>
      <x:c r="M23" s="7" t="n">
        <x:f>SUMIFS('个人结果'!$H$6:$H$125,'个人结果'!$A$6:$A$125,A23,'个人结果'!$B$6:$B$125,B23,'个人结果'!$E$6:$E$125,E23)</x:f>
        <x:v>684499.5</x:v>
      </x:c>
      <x:c r="N23" s="7" t="n">
        <x:f>ROUND(K23-M23,2)</x:f>
        <x:v>0</x:v>
      </x:c>
    </x:row>
    <x:row r="24" ht="22" customHeight="1">
      <x:c r="A24" s="7" t="str">
        <x:v>PROCESS</x:v>
      </x:c>
      <x:c r="B24" s="7" t="str">
        <x:v>R0</x:v>
      </x:c>
      <x:c r="C24" s="7" t="str">
        <x:v>Q3</x:v>
      </x:c>
      <x:c r="D24" s="7" t="str">
        <x:v>D01</x:v>
      </x:c>
      <x:c r="E24" s="7" t="str">
        <x:v>G01</x:v>
      </x:c>
      <x:c r="F24" s="7" t="str">
        <x:v>1部1组</x:v>
      </x:c>
      <x:c r="G24" s="7" t="n">
        <x:v>7623000</x:v>
      </x:c>
      <x:c r="H24" s="7" t="n">
        <x:v>7200000</x:v>
      </x:c>
      <x:c r="I24" s="7" t="n">
        <x:v>94</x:v>
      </x:c>
      <x:c r="J24" s="10" t="n">
        <x:v>0.995225</x:v>
      </x:c>
      <x:c r="K24" s="7" t="n">
        <x:v>68685.63</x:v>
      </x:c>
      <x:c r="L24" s="7"/>
      <x:c r="M24" s="7" t="n">
        <x:f>SUMIFS('个人结果'!$H$6:$H$125,'个人结果'!$A$6:$A$125,A24,'个人结果'!$B$6:$B$125,B24,'个人结果'!$E$6:$E$125,E24)</x:f>
        <x:v>68685.63</x:v>
      </x:c>
      <x:c r="N24" s="7" t="n">
        <x:f>ROUND(K24-M24,2)</x:f>
        <x:v>0</x:v>
      </x:c>
    </x:row>
    <x:row r="25" ht="22" customHeight="1">
      <x:c r="A25" s="7" t="str">
        <x:v>PROCESS</x:v>
      </x:c>
      <x:c r="B25" s="7" t="str">
        <x:v>R0</x:v>
      </x:c>
      <x:c r="C25" s="7" t="str">
        <x:v>Q3</x:v>
      </x:c>
      <x:c r="D25" s="7" t="str">
        <x:v>D01</x:v>
      </x:c>
      <x:c r="E25" s="7" t="str">
        <x:v>G02</x:v>
      </x:c>
      <x:c r="F25" s="7" t="str">
        <x:v>1部2组</x:v>
      </x:c>
      <x:c r="G25" s="7" t="n">
        <x:v>7623000</x:v>
      </x:c>
      <x:c r="H25" s="7" t="n">
        <x:v>6300000</x:v>
      </x:c>
      <x:c r="I25" s="7" t="n">
        <x:v>96</x:v>
      </x:c>
      <x:c r="J25" s="10" t="n">
        <x:v>1.152</x:v>
      </x:c>
      <x:c r="K25" s="7" t="n">
        <x:v>79505.48</x:v>
      </x:c>
      <x:c r="L25" s="7"/>
      <x:c r="M25" s="7" t="n">
        <x:f>SUMIFS('个人结果'!$H$6:$H$125,'个人结果'!$A$6:$A$125,A25,'个人结果'!$B$6:$B$125,B25,'个人结果'!$E$6:$E$125,E25)</x:f>
        <x:v>79505.48</x:v>
      </x:c>
      <x:c r="N25" s="7" t="n">
        <x:f>ROUND(K25-M25,2)</x:f>
        <x:v>0</x:v>
      </x:c>
    </x:row>
    <x:row r="26" ht="22" customHeight="1">
      <x:c r="A26" s="7" t="str">
        <x:v>PROCESS</x:v>
      </x:c>
      <x:c r="B26" s="7" t="str">
        <x:v>R0</x:v>
      </x:c>
      <x:c r="C26" s="7" t="str">
        <x:v>Q3</x:v>
      </x:c>
      <x:c r="D26" s="7" t="str">
        <x:v>D01</x:v>
      </x:c>
      <x:c r="E26" s="7" t="str">
        <x:v>G03</x:v>
      </x:c>
      <x:c r="F26" s="7" t="str">
        <x:v>1部3组</x:v>
      </x:c>
      <x:c r="G26" s="7" t="n">
        <x:v>6413000</x:v>
      </x:c>
      <x:c r="H26" s="7" t="n">
        <x:v>4500000</x:v>
      </x:c>
      <x:c r="I26" s="7" t="n">
        <x:v>90</x:v>
      </x:c>
      <x:c r="J26" s="10" t="n">
        <x:v>1.08</x:v>
      </x:c>
      <x:c r="K26" s="7" t="n">
        <x:v>74536.39</x:v>
      </x:c>
      <x:c r="L26" s="7"/>
      <x:c r="M26" s="7" t="n">
        <x:f>SUMIFS('个人结果'!$H$6:$H$125,'个人结果'!$A$6:$A$125,A26,'个人结果'!$B$6:$B$125,B26,'个人结果'!$E$6:$E$125,E26)</x:f>
        <x:v>74536.39</x:v>
      </x:c>
      <x:c r="N26" s="7" t="n">
        <x:f>ROUND(K26-M26,2)</x:f>
        <x:v>0</x:v>
      </x:c>
    </x:row>
    <x:row r="27" ht="22" customHeight="1">
      <x:c r="A27" s="7" t="str">
        <x:v>PROCESS</x:v>
      </x:c>
      <x:c r="B27" s="7" t="str">
        <x:v>R0</x:v>
      </x:c>
      <x:c r="C27" s="7" t="str">
        <x:v>Q3</x:v>
      </x:c>
      <x:c r="D27" s="7" t="str">
        <x:v>D02</x:v>
      </x:c>
      <x:c r="E27" s="7" t="str">
        <x:v>G04</x:v>
      </x:c>
      <x:c r="F27" s="7" t="str">
        <x:v>2部1组</x:v>
      </x:c>
      <x:c r="G27" s="7" t="n">
        <x:v>7458000</x:v>
      </x:c>
      <x:c r="H27" s="7" t="n">
        <x:v>8000000</x:v>
      </x:c>
      <x:c r="I27" s="7" t="n">
        <x:v>85</x:v>
      </x:c>
      <x:c r="J27" s="10" t="n">
        <x:v>0.792413</x:v>
      </x:c>
      <x:c r="K27" s="7" t="n">
        <x:v>80453.65</x:v>
      </x:c>
      <x:c r="L27" s="7"/>
      <x:c r="M27" s="7" t="n">
        <x:f>SUMIFS('个人结果'!$H$6:$H$125,'个人结果'!$A$6:$A$125,A27,'个人结果'!$B$6:$B$125,B27,'个人结果'!$E$6:$E$125,E27)</x:f>
        <x:v>80453.65</x:v>
      </x:c>
      <x:c r="N27" s="7" t="n">
        <x:f>ROUND(K27-M27,2)</x:f>
        <x:v>0</x:v>
      </x:c>
    </x:row>
    <x:row r="28" ht="22" customHeight="1">
      <x:c r="A28" s="7" t="str">
        <x:v>PROCESS</x:v>
      </x:c>
      <x:c r="B28" s="7" t="str">
        <x:v>R0</x:v>
      </x:c>
      <x:c r="C28" s="7" t="str">
        <x:v>Q3</x:v>
      </x:c>
      <x:c r="D28" s="7" t="str">
        <x:v>D02</x:v>
      </x:c>
      <x:c r="E28" s="7" t="str">
        <x:v>G05</x:v>
      </x:c>
      <x:c r="F28" s="7" t="str">
        <x:v>2部2组</x:v>
      </x:c>
      <x:c r="G28" s="7" t="n">
        <x:v>4532000</x:v>
      </x:c>
      <x:c r="H28" s="7" t="n">
        <x:v>7000000</x:v>
      </x:c>
      <x:c r="I28" s="7" t="n">
        <x:v>94</x:v>
      </x:c>
      <x:c r="J28" s="10" t="n">
        <x:v>0.608583</x:v>
      </x:c>
      <x:c r="K28" s="7" t="n">
        <x:v>61789.4</x:v>
      </x:c>
      <x:c r="L28" s="7"/>
      <x:c r="M28" s="7" t="n">
        <x:f>SUMIFS('个人结果'!$H$6:$H$125,'个人结果'!$A$6:$A$125,A28,'个人结果'!$B$6:$B$125,B28,'个人结果'!$E$6:$E$125,E28)</x:f>
        <x:v>61789.4</x:v>
      </x:c>
      <x:c r="N28" s="7" t="n">
        <x:f>ROUND(K28-M28,2)</x:f>
        <x:v>0</x:v>
      </x:c>
    </x:row>
    <x:row r="29" ht="22" customHeight="1">
      <x:c r="A29" s="7" t="str">
        <x:v>PROCESS</x:v>
      </x:c>
      <x:c r="B29" s="7" t="str">
        <x:v>R0</x:v>
      </x:c>
      <x:c r="C29" s="7" t="str">
        <x:v>Q3</x:v>
      </x:c>
      <x:c r="D29" s="7" t="str">
        <x:v>D02</x:v>
      </x:c>
      <x:c r="E29" s="7" t="str">
        <x:v>G06</x:v>
      </x:c>
      <x:c r="F29" s="7" t="str">
        <x:v>2部3组</x:v>
      </x:c>
      <x:c r="G29" s="7" t="n">
        <x:v>7326000</x:v>
      </x:c>
      <x:c r="H29" s="7" t="n">
        <x:v>5000000</x:v>
      </x:c>
      <x:c r="I29" s="7" t="n">
        <x:v>75</x:v>
      </x:c>
      <x:c r="J29" s="10" t="n">
        <x:v>0.9</x:v>
      </x:c>
      <x:c r="K29" s="7" t="n">
        <x:v>91376.95</x:v>
      </x:c>
      <x:c r="L29" s="7"/>
      <x:c r="M29" s="7" t="n">
        <x:f>SUMIFS('个人结果'!$H$6:$H$125,'个人结果'!$A$6:$A$125,A29,'个人结果'!$B$6:$B$125,B29,'个人结果'!$E$6:$E$125,E29)</x:f>
        <x:v>91376.94999999998</x:v>
      </x:c>
      <x:c r="N29" s="7" t="n">
        <x:f>ROUND(K29-M29,2)</x:f>
        <x:v>0</x:v>
      </x:c>
    </x:row>
    <x:row r="30" ht="22" customHeight="1">
      <x:c r="A30" s="7" t="str">
        <x:v>ANNUAL</x:v>
      </x:c>
      <x:c r="B30" s="7" t="str">
        <x:v>R0</x:v>
      </x:c>
      <x:c r="C30" s="7" t="str">
        <x:v>FY</x:v>
      </x:c>
      <x:c r="D30" s="7" t="str">
        <x:v>D01</x:v>
      </x:c>
      <x:c r="E30" s="7" t="str">
        <x:v>G01</x:v>
      </x:c>
      <x:c r="F30" s="7" t="str">
        <x:v>1部1组</x:v>
      </x:c>
      <x:c r="G30" s="7" t="n">
        <x:v>28759500</x:v>
      </x:c>
      <x:c r="H30" s="7" t="n">
        <x:v>28800000</x:v>
      </x:c>
      <x:c r="I30" s="7" t="n">
        <x:v>92</x:v>
      </x:c>
      <x:c r="J30" s="10" t="n">
        <x:v>0.918706</x:v>
      </x:c>
      <x:c r="K30" s="7" t="n">
        <x:v>2367198.35</x:v>
      </x:c>
      <x:c r="L30" s="7"/>
      <x:c r="M30" s="7" t="n">
        <x:f>SUMIFS('个人结果'!$H$6:$H$125,'个人结果'!$A$6:$A$125,A30,'个人结果'!$B$6:$B$125,B30,'个人结果'!$E$6:$E$125,E30)</x:f>
        <x:v>2367198.3499999996</x:v>
      </x:c>
      <x:c r="N30" s="7" t="n">
        <x:f>ROUND(K30-M30,2)</x:f>
        <x:v>0</x:v>
      </x:c>
    </x:row>
    <x:row r="31" ht="22" customHeight="1">
      <x:c r="A31" s="7" t="str">
        <x:v>ANNUAL</x:v>
      </x:c>
      <x:c r="B31" s="7" t="str">
        <x:v>R0</x:v>
      </x:c>
      <x:c r="C31" s="7" t="str">
        <x:v>FY</x:v>
      </x:c>
      <x:c r="D31" s="7" t="str">
        <x:v>D01</x:v>
      </x:c>
      <x:c r="E31" s="7" t="str">
        <x:v>G02</x:v>
      </x:c>
      <x:c r="F31" s="7" t="str">
        <x:v>1部2组</x:v>
      </x:c>
      <x:c r="G31" s="7" t="n">
        <x:v>28759500</x:v>
      </x:c>
      <x:c r="H31" s="7" t="n">
        <x:v>25200000</x:v>
      </x:c>
      <x:c r="I31" s="7" t="n">
        <x:v>77</x:v>
      </x:c>
      <x:c r="J31" s="10" t="n">
        <x:v>0.878763</x:v>
      </x:c>
      <x:c r="K31" s="7" t="n">
        <x:v>2264278.58</x:v>
      </x:c>
      <x:c r="L31" s="7"/>
      <x:c r="M31" s="7" t="n">
        <x:f>SUMIFS('个人结果'!$H$6:$H$125,'个人结果'!$A$6:$A$125,A31,'个人结果'!$B$6:$B$125,B31,'个人结果'!$E$6:$E$125,E31)</x:f>
        <x:v>2264278.58</x:v>
      </x:c>
      <x:c r="N31" s="7" t="n">
        <x:f>ROUND(K31-M31,2)</x:f>
        <x:v>0</x:v>
      </x:c>
    </x:row>
    <x:row r="32" ht="22" customHeight="1">
      <x:c r="A32" s="7" t="str">
        <x:v>ANNUAL</x:v>
      </x:c>
      <x:c r="B32" s="7" t="str">
        <x:v>R0</x:v>
      </x:c>
      <x:c r="C32" s="7" t="str">
        <x:v>FY</x:v>
      </x:c>
      <x:c r="D32" s="7" t="str">
        <x:v>D01</x:v>
      </x:c>
      <x:c r="E32" s="7" t="str">
        <x:v>G03</x:v>
      </x:c>
      <x:c r="F32" s="7" t="str">
        <x:v>1部3组</x:v>
      </x:c>
      <x:c r="G32" s="7" t="n">
        <x:v>24194500</x:v>
      </x:c>
      <x:c r="H32" s="7" t="n">
        <x:v>18000000</x:v>
      </x:c>
      <x:c r="I32" s="7" t="n">
        <x:v>88</x:v>
      </x:c>
      <x:c r="J32" s="10" t="n">
        <x:v>1.056</x:v>
      </x:c>
      <x:c r="K32" s="7" t="n">
        <x:v>2720959.1</x:v>
      </x:c>
      <x:c r="L32" s="7"/>
      <x:c r="M32" s="7" t="n">
        <x:f>SUMIFS('个人结果'!$H$6:$H$125,'个人结果'!$A$6:$A$125,A32,'个人结果'!$B$6:$B$125,B32,'个人结果'!$E$6:$E$125,E32)</x:f>
        <x:v>2720959.1</x:v>
      </x:c>
      <x:c r="N32" s="7" t="n">
        <x:f>ROUND(K32-M32,2)</x:f>
        <x:v>0</x:v>
      </x:c>
    </x:row>
    <x:row r="33" ht="22" customHeight="1">
      <x:c r="A33" s="7" t="str">
        <x:v>ANNUAL</x:v>
      </x:c>
      <x:c r="B33" s="7" t="str">
        <x:v>R0</x:v>
      </x:c>
      <x:c r="C33" s="7" t="str">
        <x:v>FY</x:v>
      </x:c>
      <x:c r="D33" s="7" t="str">
        <x:v>D02</x:v>
      </x:c>
      <x:c r="E33" s="7" t="str">
        <x:v>G04</x:v>
      </x:c>
      <x:c r="F33" s="7" t="str">
        <x:v>2部1组</x:v>
      </x:c>
      <x:c r="G33" s="7" t="n">
        <x:v>28137000</x:v>
      </x:c>
      <x:c r="H33" s="7" t="n">
        <x:v>32000000</x:v>
      </x:c>
      <x:c r="I33" s="7" t="n">
        <x:v>98</x:v>
      </x:c>
      <x:c r="J33" s="10" t="n">
        <x:v>0.861696</x:v>
      </x:c>
      <x:c r="K33" s="7" t="n">
        <x:v>1965319.29</x:v>
      </x:c>
      <x:c r="L33" s="7"/>
      <x:c r="M33" s="7" t="n">
        <x:f>SUMIFS('个人结果'!$H$6:$H$125,'个人结果'!$A$6:$A$125,A33,'个人结果'!$B$6:$B$125,B33,'个人结果'!$E$6:$E$125,E33)</x:f>
        <x:v>1965319.2899999998</x:v>
      </x:c>
      <x:c r="N33" s="7" t="n">
        <x:f>ROUND(K33-M33,2)</x:f>
        <x:v>0</x:v>
      </x:c>
    </x:row>
    <x:row r="34" ht="22" customHeight="1">
      <x:c r="A34" s="7" t="str">
        <x:v>ANNUAL</x:v>
      </x:c>
      <x:c r="B34" s="7" t="str">
        <x:v>R0</x:v>
      </x:c>
      <x:c r="C34" s="7" t="str">
        <x:v>FY</x:v>
      </x:c>
      <x:c r="D34" s="7" t="str">
        <x:v>D02</x:v>
      </x:c>
      <x:c r="E34" s="7" t="str">
        <x:v>G05</x:v>
      </x:c>
      <x:c r="F34" s="7" t="str">
        <x:v>2部2组</x:v>
      </x:c>
      <x:c r="G34" s="7" t="n">
        <x:v>17098000</x:v>
      </x:c>
      <x:c r="H34" s="7" t="n">
        <x:v>28000000</x:v>
      </x:c>
      <x:c r="I34" s="7" t="n">
        <x:v>96</x:v>
      </x:c>
      <x:c r="J34" s="10" t="n">
        <x:v>0.586217</x:v>
      </x:c>
      <x:c r="K34" s="7" t="n">
        <x:v>1337018.59</x:v>
      </x:c>
      <x:c r="L34" s="7"/>
      <x:c r="M34" s="7" t="n">
        <x:f>SUMIFS('个人结果'!$H$6:$H$125,'个人结果'!$A$6:$A$125,A34,'个人结果'!$B$6:$B$125,B34,'个人结果'!$E$6:$E$125,E34)</x:f>
        <x:v>1337018.5899999999</x:v>
      </x:c>
      <x:c r="N34" s="7" t="n">
        <x:f>ROUND(K34-M34,2)</x:f>
        <x:v>0</x:v>
      </x:c>
    </x:row>
    <x:row r="35" ht="22" customHeight="1">
      <x:c r="A35" s="7" t="str">
        <x:v>ANNUAL</x:v>
      </x:c>
      <x:c r="B35" s="7" t="str">
        <x:v>R0</x:v>
      </x:c>
      <x:c r="C35" s="7" t="str">
        <x:v>FY</x:v>
      </x:c>
      <x:c r="D35" s="7" t="str">
        <x:v>D02</x:v>
      </x:c>
      <x:c r="E35" s="7" t="str">
        <x:v>G06</x:v>
      </x:c>
      <x:c r="F35" s="7" t="str">
        <x:v>2部3组</x:v>
      </x:c>
      <x:c r="G35" s="7" t="n">
        <x:v>27639000</x:v>
      </x:c>
      <x:c r="H35" s="7" t="n">
        <x:v>20000000</x:v>
      </x:c>
      <x:c r="I35" s="7" t="n">
        <x:v>95</x:v>
      </x:c>
      <x:c r="J35" s="10" t="n">
        <x:v>1.14</x:v>
      </x:c>
      <x:c r="K35" s="7" t="n">
        <x:v>2600063.12</x:v>
      </x:c>
      <x:c r="L35" s="7"/>
      <x:c r="M35" s="7" t="n">
        <x:f>SUMIFS('个人结果'!$H$6:$H$125,'个人结果'!$A$6:$A$125,A35,'个人结果'!$B$6:$B$125,B35,'个人结果'!$E$6:$E$125,E35)</x:f>
        <x:v>2600063.12</x:v>
      </x:c>
      <x:c r="N35" s="7" t="n">
        <x:f>ROUND(K35-M35,2)</x:f>
        <x:v>0</x:v>
      </x:c>
    </x:row>
  </x:sheetData>
  <x:conditionalFormatting sqref="N6:N35">
    <x:cfRule type="cellIs" dxfId="3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0a413f598048ab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2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28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</x:cols>
  <x:sheetData>
    <x:row r="2" ht="27" customHeight="1">
      <x:c r="A2" s="8" t="str">
        <x:v>个人奖金期望结果</x:v>
      </x:c>
    </x:row>
    <x:row r="3">
      <x:c r="A3" s="9" t="str">
        <x:v>固定验收快照。更改原始输入后重跑 reproduce.py；金额与权重审计公式见右侧。</x:v>
      </x:c>
    </x:row>
    <x:row r="5" ht="42" customHeight="1">
      <x:c r="A5" s="6" t="str">
        <x:v>方案</x:v>
      </x:c>
      <x:c r="B5" s="6" t="str">
        <x:v>修订</x:v>
      </x:c>
      <x:c r="C5" s="6" t="str">
        <x:v>周期</x:v>
      </x:c>
      <x:c r="D5" s="6" t="str">
        <x:v>部门</x:v>
      </x:c>
      <x:c r="E5" s="6" t="str">
        <x:v>小组</x:v>
      </x:c>
      <x:c r="F5" s="6" t="str">
        <x:v>员工编号</x:v>
      </x:c>
      <x:c r="G5" s="6" t="str">
        <x:v>姓名</x:v>
      </x:c>
      <x:c r="H5" s="6" t="str">
        <x:v>应得金额</x:v>
      </x:c>
      <x:c r="I5" s="6" t="str">
        <x:v>本次可发</x:v>
      </x:c>
      <x:c r="J5" s="6" t="str">
        <x:v>暂缓金额</x:v>
      </x:c>
      <x:c r="K5" s="6" t="str">
        <x:v>已发抵扣</x:v>
      </x:c>
      <x:c r="L5" s="6" t="str">
        <x:v>超发待核对</x:v>
      </x:c>
      <x:c r="M5" s="6" t="str">
        <x:v>回款比例</x:v>
      </x:c>
      <x:c r="N5" s="6" t="str">
        <x:v>原分配权重</x:v>
      </x:c>
      <x:c r="O5" s="6" t="str">
        <x:v>人工指定金额</x:v>
      </x:c>
      <x:c r="P5" s="6" t="str">
        <x:v>归属销售额</x:v>
      </x:c>
      <x:c r="Q5" s="6" t="str">
        <x:v>归属回款额</x:v>
      </x:c>
      <x:c r="R5" s="6" t="str">
        <x:v>工龄年</x:v>
      </x:c>
      <x:c r="S5" s="6" t="str">
        <x:v>确认贡献分</x:v>
      </x:c>
      <x:c r="T5" s="6" t="str">
        <x:v>难度归一</x:v>
      </x:c>
      <x:c r="U5" s="6" t="str">
        <x:v>完成归一</x:v>
      </x:c>
      <x:c r="V5" s="6" t="str">
        <x:v>项目数</x:v>
      </x:c>
      <x:c r="W5" s="6" t="str">
        <x:v>确认产出分</x:v>
      </x:c>
      <x:c r="X5" s="6" t="str">
        <x:v>AI建议分</x:v>
      </x:c>
      <x:c r="Y5" s="6" t="str">
        <x:v>评分来源</x:v>
      </x:c>
      <x:c r="Z5" s="6" t="str">
        <x:v>可发上限</x:v>
      </x:c>
      <x:c r="AA5" s="6" t="str">
        <x:v>期望可发快照</x:v>
      </x:c>
      <x:c r="AB5" s="6" t="str">
        <x:v>期望暂缓快照</x:v>
      </x:c>
      <x:c r="AC5" s="6" t="str">
        <x:v>期望权重快照</x:v>
      </x:c>
      <x:c r="AD5" s="6" t="str">
        <x:v>可发差异</x:v>
      </x:c>
      <x:c r="AE5" s="6" t="str">
        <x:v>权重差异</x:v>
      </x:c>
    </x:row>
    <x:row r="6" ht="22" customHeight="1">
      <x:c r="A6" s="7" t="str">
        <x:v>QUARTER</x:v>
      </x:c>
      <x:c r="B6" s="7" t="str">
        <x:v>R0</x:v>
      </x:c>
      <x:c r="C6" s="7" t="str">
        <x:v>Q3</x:v>
      </x:c>
      <x:c r="D6" s="7" t="str">
        <x:v>D01</x:v>
      </x:c>
      <x:c r="E6" s="7" t="str">
        <x:v>G01</x:v>
      </x:c>
      <x:c r="F6" s="7" t="str">
        <x:v>E001</x:v>
      </x:c>
      <x:c r="G6" s="7" t="str">
        <x:v>样例员工01</x:v>
      </x:c>
      <x:c r="H6" s="7" t="n">
        <x:v>166117.46</x:v>
      </x:c>
      <x:c r="I6" s="7" t="n">
        <x:f>MAX(Z6-K6,0)</x:f>
        <x:v>65449.47</x:v>
      </x:c>
      <x:c r="J6" s="7" t="n">
        <x:f>H6-Z6</x:f>
        <x:v>100667.98999999999</x:v>
      </x:c>
      <x:c r="K6" s="7" t="n">
        <x:v>0</x:v>
      </x:c>
      <x:c r="L6" s="7" t="n">
        <x:f>MAX(K6-Z6,0)</x:f>
        <x:v>0</x:v>
      </x:c>
      <x:c r="M6" s="10" t="n">
        <x:f>IF(P6=0,0,MIN(Q6/P6,1))</x:f>
        <x:v>0.3939951024850354</x:v>
      </x:c>
      <x:c r="N6" s="10" t="n">
        <x:f>ROUND(MIN(R6,'参数'!$B$11)/'参数'!$B$11*'参数'!$B$2+S6/100*'参数'!$B$3+T6*'参数'!$B$4+U6*'参数'!$B$5+MIN(V6,'参数'!$B$12)/'参数'!$B$12*'参数'!$B$6+W6/100*'参数'!$B$7,'参数'!$B$13)</x:f>
        <x:v>0.728431</x:v>
      </x:c>
      <x:c r="O6" s="7"/>
      <x:c r="P6" s="7" t="n">
        <x:v>2425720</x:v>
      </x:c>
      <x:c r="Q6" s="7" t="n">
        <x:v>955721.8</x:v>
      </x:c>
      <x:c r="R6" s="11" t="n">
        <x:v>9</x:v>
      </x:c>
      <x:c r="S6" s="7" t="n">
        <x:v>97</x:v>
      </x:c>
      <x:c r="T6" s="10" t="n">
        <x:v>0.5760869565217391</x:v>
      </x:c>
      <x:c r="U6" s="10" t="n">
        <x:v>0.6417248677248677</x:v>
      </x:c>
      <x:c r="V6" s="11" t="n">
        <x:v>5</x:v>
      </x:c>
      <x:c r="W6" s="11" t="n">
        <x:v>62</x:v>
      </x:c>
      <x:c r="X6" s="11" t="n">
        <x:v>97</x:v>
      </x:c>
      <x:c r="Y6" s="7" t="str">
        <x:v>AI建议经人工确认</x:v>
      </x:c>
      <x:c r="Z6" s="7" t="n">
        <x:f>ROUND(H6*M6,2)</x:f>
        <x:v>65449.47</x:v>
      </x:c>
      <x:c r="AA6" s="7" t="n">
        <x:v>65449.47</x:v>
      </x:c>
      <x:c r="AB6" s="7" t="n">
        <x:v>100667.99</x:v>
      </x:c>
      <x:c r="AC6" s="10" t="n">
        <x:v>0.728431</x:v>
      </x:c>
      <x:c r="AD6" s="7" t="n">
        <x:f>ROUND(I6-AA6,2)</x:f>
        <x:v>0</x:v>
      </x:c>
      <x:c r="AE6" s="10" t="n">
        <x:f>ROUND(N6-AC6,6)</x:f>
        <x:v>0</x:v>
      </x:c>
    </x:row>
    <x:row r="7" ht="22" customHeight="1">
      <x:c r="A7" s="7" t="str">
        <x:v>QUARTER</x:v>
      </x:c>
      <x:c r="B7" s="7" t="str">
        <x:v>R0</x:v>
      </x:c>
      <x:c r="C7" s="7" t="str">
        <x:v>Q3</x:v>
      </x:c>
      <x:c r="D7" s="7" t="str">
        <x:v>D01</x:v>
      </x:c>
      <x:c r="E7" s="7" t="str">
        <x:v>G01</x:v>
      </x:c>
      <x:c r="F7" s="7" t="str">
        <x:v>E002</x:v>
      </x:c>
      <x:c r="G7" s="7" t="str">
        <x:v>样例员工02</x:v>
      </x:c>
      <x:c r="H7" s="7" t="n">
        <x:v>171798.83</x:v>
      </x:c>
      <x:c r="I7" s="7" t="n">
        <x:f>MAX(Z7-K7,0)</x:f>
        <x:v>65807.06</x:v>
      </x:c>
      <x:c r="J7" s="7" t="n">
        <x:f>H7-Z7</x:f>
        <x:v>105991.76999999999</x:v>
      </x:c>
      <x:c r="K7" s="7" t="n">
        <x:v>0</x:v>
      </x:c>
      <x:c r="L7" s="7" t="n">
        <x:f>MAX(K7-Z7,0)</x:f>
        <x:v>0</x:v>
      </x:c>
      <x:c r="M7" s="10" t="n">
        <x:f>IF(P7=0,0,MIN(Q7/P7,1))</x:f>
        <x:v>0.3830472103004292</x:v>
      </x:c>
      <x:c r="N7" s="10" t="n">
        <x:f>ROUND(MIN(R7,'参数'!$B$11)/'参数'!$B$11*'参数'!$B$2+S7/100*'参数'!$B$3+T7*'参数'!$B$4+U7*'参数'!$B$5+MIN(V7,'参数'!$B$12)/'参数'!$B$12*'参数'!$B$6+W7/100*'参数'!$B$7,'参数'!$B$13)</x:f>
        <x:v>0.753344</x:v>
      </x:c>
      <x:c r="O7" s="7"/>
      <x:c r="P7" s="7" t="n">
        <x:v>2152920</x:v>
      </x:c>
      <x:c r="Q7" s="7" t="n">
        <x:v>824670</x:v>
      </x:c>
      <x:c r="R7" s="11" t="n">
        <x:v>6</x:v>
      </x:c>
      <x:c r="S7" s="7" t="n">
        <x:v>94</x:v>
      </x:c>
      <x:c r="T7" s="10" t="n">
        <x:v>0.6666666666666666</x:v>
      </x:c>
      <x:c r="U7" s="10" t="n">
        <x:v>0.6644814814814815</x:v>
      </x:c>
      <x:c r="V7" s="11" t="n">
        <x:v>5</x:v>
      </x:c>
      <x:c r="W7" s="11" t="n">
        <x:v>69</x:v>
      </x:c>
      <x:c r="X7" s="11" t="n">
        <x:v>76</x:v>
      </x:c>
      <x:c r="Y7" s="7" t="str">
        <x:v>AI建议经人工确认</x:v>
      </x:c>
      <x:c r="Z7" s="7" t="n">
        <x:f>ROUND(H7*M7,2)</x:f>
        <x:v>65807.06</x:v>
      </x:c>
      <x:c r="AA7" s="7" t="n">
        <x:v>65807.06</x:v>
      </x:c>
      <x:c r="AB7" s="7" t="n">
        <x:v>105991.77</x:v>
      </x:c>
      <x:c r="AC7" s="10" t="n">
        <x:v>0.753344</x:v>
      </x:c>
      <x:c r="AD7" s="7" t="n">
        <x:f>ROUND(I7-AA7,2)</x:f>
        <x:v>0</x:v>
      </x:c>
      <x:c r="AE7" s="10" t="n">
        <x:f>ROUND(N7-AC7,6)</x:f>
        <x:v>0</x:v>
      </x:c>
    </x:row>
    <x:row r="8" ht="22" customHeight="1">
      <x:c r="A8" s="7" t="str">
        <x:v>QUARTER</x:v>
      </x:c>
      <x:c r="B8" s="7" t="str">
        <x:v>R0</x:v>
      </x:c>
      <x:c r="C8" s="7" t="str">
        <x:v>Q3</x:v>
      </x:c>
      <x:c r="D8" s="7" t="str">
        <x:v>D01</x:v>
      </x:c>
      <x:c r="E8" s="7" t="str">
        <x:v>G01</x:v>
      </x:c>
      <x:c r="F8" s="7" t="str">
        <x:v>E003</x:v>
      </x:c>
      <x:c r="G8" s="7" t="str">
        <x:v>样例员工03</x:v>
      </x:c>
      <x:c r="H8" s="7" t="n">
        <x:v>161021.72</x:v>
      </x:c>
      <x:c r="I8" s="7" t="n">
        <x:f>MAX(Z8-K8,0)</x:f>
        <x:v>56430.93</x:v>
      </x:c>
      <x:c r="J8" s="7" t="n">
        <x:f>H8-Z8</x:f>
        <x:v>104590.79000000001</x:v>
      </x:c>
      <x:c r="K8" s="7" t="n">
        <x:v>0</x:v>
      </x:c>
      <x:c r="L8" s="7" t="n">
        <x:f>MAX(K8-Z8,0)</x:f>
        <x:v>0</x:v>
      </x:c>
      <x:c r="M8" s="10" t="n">
        <x:f>IF(P8=0,0,MIN(Q8/P8,1))</x:f>
        <x:v>0.3504553971486762</x:v>
      </x:c>
      <x:c r="N8" s="10" t="n">
        <x:f>ROUND(MIN(R8,'参数'!$B$11)/'参数'!$B$11*'参数'!$B$2+S8/100*'参数'!$B$3+T8*'参数'!$B$4+U8*'参数'!$B$5+MIN(V8,'参数'!$B$12)/'参数'!$B$12*'参数'!$B$6+W8/100*'参数'!$B$7,'参数'!$B$13)</x:f>
        <x:v>0.706086</x:v>
      </x:c>
      <x:c r="O8" s="7"/>
      <x:c r="P8" s="7" t="n">
        <x:v>1350250</x:v>
      </x:c>
      <x:c r="Q8" s="7" t="n">
        <x:v>473202.4</x:v>
      </x:c>
      <x:c r="R8" s="11" t="n">
        <x:v>3</x:v>
      </x:c>
      <x:c r="S8" s="7" t="n">
        <x:v>97</x:v>
      </x:c>
      <x:c r="T8" s="10" t="n">
        <x:v>0.8103448275862069</x:v>
      </x:c>
      <x:c r="U8" s="10" t="n">
        <x:v>0.6251157407407407</x:v>
      </x:c>
      <x:c r="V8" s="11" t="n">
        <x:v>4</x:v>
      </x:c>
      <x:c r="W8" s="11" t="n">
        <x:v>62</x:v>
      </x:c>
      <x:c r="X8" s="11" t="n">
        <x:v>97</x:v>
      </x:c>
      <x:c r="Y8" s="7" t="str">
        <x:v>AI建议经人工确认</x:v>
      </x:c>
      <x:c r="Z8" s="7" t="n">
        <x:f>ROUND(H8*M8,2)</x:f>
        <x:v>56430.93</x:v>
      </x:c>
      <x:c r="AA8" s="7" t="n">
        <x:v>56430.93</x:v>
      </x:c>
      <x:c r="AB8" s="7" t="n">
        <x:v>104590.79</x:v>
      </x:c>
      <x:c r="AC8" s="10" t="n">
        <x:v>0.706086</x:v>
      </x:c>
      <x:c r="AD8" s="7" t="n">
        <x:f>ROUND(I8-AA8,2)</x:f>
        <x:v>0</x:v>
      </x:c>
      <x:c r="AE8" s="10" t="n">
        <x:f>ROUND(N8-AC8,6)</x:f>
        <x:v>0</x:v>
      </x:c>
    </x:row>
    <x:row r="9" ht="22" customHeight="1">
      <x:c r="A9" s="7" t="str">
        <x:v>QUARTER</x:v>
      </x:c>
      <x:c r="B9" s="7" t="str">
        <x:v>R0</x:v>
      </x:c>
      <x:c r="C9" s="7" t="str">
        <x:v>Q3</x:v>
      </x:c>
      <x:c r="D9" s="7" t="str">
        <x:v>D01</x:v>
      </x:c>
      <x:c r="E9" s="7" t="str">
        <x:v>G01</x:v>
      </x:c>
      <x:c r="F9" s="7" t="str">
        <x:v>E004</x:v>
      </x:c>
      <x:c r="G9" s="7" t="str">
        <x:v>样例员工04</x:v>
      </x:c>
      <x:c r="H9" s="7" t="n">
        <x:v>164992.95</x:v>
      </x:c>
      <x:c r="I9" s="7" t="n">
        <x:f>MAX(Z9-K9,0)</x:f>
        <x:v>56241.59</x:v>
      </x:c>
      <x:c r="J9" s="7" t="n">
        <x:f>H9-Z9</x:f>
        <x:v>108751.36000000002</x:v>
      </x:c>
      <x:c r="K9" s="7" t="n">
        <x:v>0</x:v>
      </x:c>
      <x:c r="L9" s="7" t="n">
        <x:f>MAX(K9-Z9,0)</x:f>
        <x:v>0</x:v>
      </x:c>
      <x:c r="M9" s="10" t="n">
        <x:f>IF(P9=0,0,MIN(Q9/P9,1))</x:f>
        <x:v>0.34087267060580484</x:v>
      </x:c>
      <x:c r="N9" s="10" t="n">
        <x:f>ROUND(MIN(R9,'参数'!$B$11)/'参数'!$B$11*'参数'!$B$2+S9/100*'参数'!$B$3+T9*'参数'!$B$4+U9*'参数'!$B$5+MIN(V9,'参数'!$B$12)/'参数'!$B$12*'参数'!$B$6+W9/100*'参数'!$B$7,'参数'!$B$13)</x:f>
        <x:v>0.7235</x:v>
      </x:c>
      <x:c r="O9" s="7"/>
      <x:c r="P9" s="7" t="n">
        <x:v>1694110</x:v>
      </x:c>
      <x:c r="Q9" s="7" t="n">
        <x:v>577475.8</x:v>
      </x:c>
      <x:c r="R9" s="11" t="n">
        <x:v>0</x:v>
      </x:c>
      <x:c r="S9" s="7" t="n">
        <x:v>82</x:v>
      </x:c>
      <x:c r="T9" s="10" t="n">
        <x:v>0.6666666666666666</x:v>
      </x:c>
      <x:c r="U9" s="10" t="n">
        <x:v>1</x:v>
      </x:c>
      <x:c r="V9" s="11" t="n">
        <x:v>4</x:v>
      </x:c>
      <x:c r="W9" s="11" t="n">
        <x:v>73</x:v>
      </x:c>
      <x:c r="X9" s="11" t="n">
        <x:v>73</x:v>
      </x:c>
      <x:c r="Y9" s="7" t="str">
        <x:v>AI建议经人工确认</x:v>
      </x:c>
      <x:c r="Z9" s="7" t="n">
        <x:f>ROUND(H9*M9,2)</x:f>
        <x:v>56241.59</x:v>
      </x:c>
      <x:c r="AA9" s="7" t="n">
        <x:v>56241.59</x:v>
      </x:c>
      <x:c r="AB9" s="7" t="n">
        <x:v>108751.36</x:v>
      </x:c>
      <x:c r="AC9" s="10" t="n">
        <x:v>0.7235</x:v>
      </x:c>
      <x:c r="AD9" s="7" t="n">
        <x:f>ROUND(I9-AA9,2)</x:f>
        <x:v>0</x:v>
      </x:c>
      <x:c r="AE9" s="10" t="n">
        <x:f>ROUND(N9-AC9,6)</x:f>
        <x:v>0</x:v>
      </x:c>
    </x:row>
    <x:row r="10" ht="22" customHeight="1">
      <x:c r="A10" s="7" t="str">
        <x:v>QUARTER</x:v>
      </x:c>
      <x:c r="B10" s="7" t="str">
        <x:v>R0</x:v>
      </x:c>
      <x:c r="C10" s="7" t="str">
        <x:v>Q3</x:v>
      </x:c>
      <x:c r="D10" s="7" t="str">
        <x:v>D01</x:v>
      </x:c>
      <x:c r="E10" s="7" t="str">
        <x:v>G02</x:v>
      </x:c>
      <x:c r="F10" s="7" t="str">
        <x:v>E005</x:v>
      </x:c>
      <x:c r="G10" s="7" t="str">
        <x:v>样例员工05</x:v>
      </x:c>
      <x:c r="H10" s="7" t="n">
        <x:v>180724.07</x:v>
      </x:c>
      <x:c r="I10" s="7" t="n">
        <x:f>MAX(Z10-K10,0)</x:f>
        <x:v>69789.1</x:v>
      </x:c>
      <x:c r="J10" s="7" t="n">
        <x:f>H10-Z10</x:f>
        <x:v>110934.97</x:v>
      </x:c>
      <x:c r="K10" s="7" t="n">
        <x:v>0</x:v>
      </x:c>
      <x:c r="L10" s="7" t="n">
        <x:f>MAX(K10-Z10,0)</x:f>
        <x:v>0</x:v>
      </x:c>
      <x:c r="M10" s="10" t="n">
        <x:f>IF(P10=0,0,MIN(Q10/P10,1))</x:f>
        <x:v>0.38616384357193034</x:v>
      </x:c>
      <x:c r="N10" s="10" t="n">
        <x:f>ROUND(MIN(R10,'参数'!$B$11)/'参数'!$B$11*'参数'!$B$2+S10/100*'参数'!$B$3+T10*'参数'!$B$4+U10*'参数'!$B$5+MIN(V10,'参数'!$B$12)/'参数'!$B$12*'参数'!$B$6+W10/100*'参数'!$B$7,'参数'!$B$13)</x:f>
        <x:v>0.679506</x:v>
      </x:c>
      <x:c r="O10" s="7"/>
      <x:c r="P10" s="7" t="n">
        <x:v>1409210</x:v>
      </x:c>
      <x:c r="Q10" s="7" t="n">
        <x:v>544185.95</x:v>
      </x:c>
      <x:c r="R10" s="11" t="n">
        <x:v>9</x:v>
      </x:c>
      <x:c r="S10" s="7" t="n">
        <x:v>72</x:v>
      </x:c>
      <x:c r="T10" s="10" t="n">
        <x:v>0.807909604519774</x:v>
      </x:c>
      <x:c r="U10" s="10" t="n">
        <x:v>0.4260650037792895</x:v>
      </x:c>
      <x:c r="V10" s="11" t="n">
        <x:v>4</x:v>
      </x:c>
      <x:c r="W10" s="11" t="n">
        <x:v>91</x:v>
      </x:c>
      <x:c r="X10" s="11" t="n">
        <x:v>63</x:v>
      </x:c>
      <x:c r="Y10" s="7" t="str">
        <x:v>AI建议经人工确认</x:v>
      </x:c>
      <x:c r="Z10" s="7" t="n">
        <x:f>ROUND(H10*M10,2)</x:f>
        <x:v>69789.1</x:v>
      </x:c>
      <x:c r="AA10" s="7" t="n">
        <x:v>69789.1</x:v>
      </x:c>
      <x:c r="AB10" s="7" t="n">
        <x:v>110934.97</x:v>
      </x:c>
      <x:c r="AC10" s="10" t="n">
        <x:v>0.679506</x:v>
      </x:c>
      <x:c r="AD10" s="7" t="n">
        <x:f>ROUND(I10-AA10,2)</x:f>
        <x:v>0</x:v>
      </x:c>
      <x:c r="AE10" s="10" t="n">
        <x:f>ROUND(N10-AC10,6)</x:f>
        <x:v>0</x:v>
      </x:c>
    </x:row>
    <x:row r="11" ht="22" customHeight="1">
      <x:c r="A11" s="7" t="str">
        <x:v>QUARTER</x:v>
      </x:c>
      <x:c r="B11" s="7" t="str">
        <x:v>R0</x:v>
      </x:c>
      <x:c r="C11" s="7" t="str">
        <x:v>Q3</x:v>
      </x:c>
      <x:c r="D11" s="7" t="str">
        <x:v>D01</x:v>
      </x:c>
      <x:c r="E11" s="7" t="str">
        <x:v>G02</x:v>
      </x:c>
      <x:c r="F11" s="7" t="str">
        <x:v>E006</x:v>
      </x:c>
      <x:c r="G11" s="7" t="str">
        <x:v>样例员工06</x:v>
      </x:c>
      <x:c r="H11" s="7" t="n">
        <x:v>187694.19</x:v>
      </x:c>
      <x:c r="I11" s="7" t="n">
        <x:f>MAX(Z11-K11,0)</x:f>
        <x:v>62076.17</x:v>
      </x:c>
      <x:c r="J11" s="7" t="n">
        <x:f>H11-Z11</x:f>
        <x:v>125618.02</x:v>
      </x:c>
      <x:c r="K11" s="7" t="n">
        <x:v>0</x:v>
      </x:c>
      <x:c r="L11" s="7" t="n">
        <x:f>MAX(K11-Z11,0)</x:f>
        <x:v>0</x:v>
      </x:c>
      <x:c r="M11" s="10" t="n">
        <x:f>IF(P11=0,0,MIN(Q11/P11,1))</x:f>
        <x:v>0.3307303714582951</x:v>
      </x:c>
      <x:c r="N11" s="10" t="n">
        <x:f>ROUND(MIN(R11,'参数'!$B$11)/'参数'!$B$11*'参数'!$B$2+S11/100*'参数'!$B$3+T11*'参数'!$B$4+U11*'参数'!$B$5+MIN(V11,'参数'!$B$12)/'参数'!$B$12*'参数'!$B$6+W11/100*'参数'!$B$7,'参数'!$B$13)</x:f>
        <x:v>0.705713</x:v>
      </x:c>
      <x:c r="O11" s="7"/>
      <x:c r="P11" s="7" t="n">
        <x:v>1797510</x:v>
      </x:c>
      <x:c r="Q11" s="7" t="n">
        <x:v>594491.15</x:v>
      </x:c>
      <x:c r="R11" s="11" t="n">
        <x:v>6</x:v>
      </x:c>
      <x:c r="S11" s="7" t="n">
        <x:v>69</x:v>
      </x:c>
      <x:c r="T11" s="10" t="n">
        <x:v>0.6666666666666666</x:v>
      </x:c>
      <x:c r="U11" s="10" t="n">
        <x:v>0.6340423280423281</x:v>
      </x:c>
      <x:c r="V11" s="11" t="n">
        <x:v>4</x:v>
      </x:c>
      <x:c r="W11" s="11" t="n">
        <x:v>85</x:v>
      </x:c>
      <x:c r="X11" s="11" t="n">
        <x:v>71</x:v>
      </x:c>
      <x:c r="Y11" s="7" t="str">
        <x:v>AI建议经人工确认</x:v>
      </x:c>
      <x:c r="Z11" s="7" t="n">
        <x:f>ROUND(H11*M11,2)</x:f>
        <x:v>62076.17</x:v>
      </x:c>
      <x:c r="AA11" s="7" t="n">
        <x:v>62076.17</x:v>
      </x:c>
      <x:c r="AB11" s="7" t="n">
        <x:v>125618.02</x:v>
      </x:c>
      <x:c r="AC11" s="10" t="n">
        <x:v>0.705713</x:v>
      </x:c>
      <x:c r="AD11" s="7" t="n">
        <x:f>ROUND(I11-AA11,2)</x:f>
        <x:v>0</x:v>
      </x:c>
      <x:c r="AE11" s="10" t="n">
        <x:f>ROUND(N11-AC11,6)</x:f>
        <x:v>0</x:v>
      </x:c>
    </x:row>
    <x:row r="12" ht="22" customHeight="1">
      <x:c r="A12" s="7" t="str">
        <x:v>QUARTER</x:v>
      </x:c>
      <x:c r="B12" s="7" t="str">
        <x:v>R0</x:v>
      </x:c>
      <x:c r="C12" s="7" t="str">
        <x:v>Q3</x:v>
      </x:c>
      <x:c r="D12" s="7" t="str">
        <x:v>D01</x:v>
      </x:c>
      <x:c r="E12" s="7" t="str">
        <x:v>G02</x:v>
      </x:c>
      <x:c r="F12" s="7" t="str">
        <x:v>E007</x:v>
      </x:c>
      <x:c r="G12" s="7" t="str">
        <x:v>样例员工07</x:v>
      </x:c>
      <x:c r="H12" s="7" t="n">
        <x:v>210334.63</x:v>
      </x:c>
      <x:c r="I12" s="7" t="n">
        <x:f>MAX(Z12-K12,0)</x:f>
        <x:v>74806.26</x:v>
      </x:c>
      <x:c r="J12" s="7" t="n">
        <x:f>H12-Z12</x:f>
        <x:v>135528.37</x:v>
      </x:c>
      <x:c r="K12" s="7" t="n">
        <x:v>0</x:v>
      </x:c>
      <x:c r="L12" s="7" t="n">
        <x:f>MAX(K12-Z12,0)</x:f>
        <x:v>0</x:v>
      </x:c>
      <x:c r="M12" s="10" t="n">
        <x:f>IF(P12=0,0,MIN(Q12/P12,1))</x:f>
        <x:v>0.3556535750718724</x:v>
      </x:c>
      <x:c r="N12" s="10" t="n">
        <x:f>ROUND(MIN(R12,'参数'!$B$11)/'参数'!$B$11*'参数'!$B$2+S12/100*'参数'!$B$3+T12*'参数'!$B$4+U12*'参数'!$B$5+MIN(V12,'参数'!$B$12)/'参数'!$B$12*'参数'!$B$6+W12/100*'参数'!$B$7,'参数'!$B$13)</x:f>
        <x:v>0.790839</x:v>
      </x:c>
      <x:c r="O12" s="7"/>
      <x:c r="P12" s="7" t="n">
        <x:v>2372260</x:v>
      </x:c>
      <x:c r="Q12" s="7" t="n">
        <x:v>843702.75</x:v>
      </x:c>
      <x:c r="R12" s="11" t="n">
        <x:v>3</x:v>
      </x:c>
      <x:c r="S12" s="7" t="n">
        <x:v>78</x:v>
      </x:c>
      <x:c r="T12" s="10" t="n">
        <x:v>0.575591985428051</x:v>
      </x:c>
      <x:c r="U12" s="10" t="n">
        <x:v>1</x:v>
      </x:c>
      <x:c r="V12" s="11" t="n">
        <x:v>5</x:v>
      </x:c>
      <x:c r="W12" s="11" t="n">
        <x:v>84</x:v>
      </x:c>
      <x:c r="X12" s="11"/>
      <x:c r="Y12" s="7" t="str">
        <x:v>负责人评分</x:v>
      </x:c>
      <x:c r="Z12" s="7" t="n">
        <x:f>ROUND(H12*M12,2)</x:f>
        <x:v>74806.26</x:v>
      </x:c>
      <x:c r="AA12" s="7" t="n">
        <x:v>74806.26</x:v>
      </x:c>
      <x:c r="AB12" s="7" t="n">
        <x:v>135528.37</x:v>
      </x:c>
      <x:c r="AC12" s="10" t="n">
        <x:v>0.790839</x:v>
      </x:c>
      <x:c r="AD12" s="7" t="n">
        <x:f>ROUND(I12-AA12,2)</x:f>
        <x:v>0</x:v>
      </x:c>
      <x:c r="AE12" s="10" t="n">
        <x:f>ROUND(N12-AC12,6)</x:f>
        <x:v>0</x:v>
      </x:c>
    </x:row>
    <x:row r="13" ht="22" customHeight="1">
      <x:c r="A13" s="7" t="str">
        <x:v>QUARTER</x:v>
      </x:c>
      <x:c r="B13" s="7" t="str">
        <x:v>R0</x:v>
      </x:c>
      <x:c r="C13" s="7" t="str">
        <x:v>Q3</x:v>
      </x:c>
      <x:c r="D13" s="7" t="str">
        <x:v>D01</x:v>
      </x:c>
      <x:c r="E13" s="7" t="str">
        <x:v>G02</x:v>
      </x:c>
      <x:c r="F13" s="7" t="str">
        <x:v>E008</x:v>
      </x:c>
      <x:c r="G13" s="7" t="str">
        <x:v>样例员工08</x:v>
      </x:c>
      <x:c r="H13" s="7" t="n">
        <x:v>189765.25</x:v>
      </x:c>
      <x:c r="I13" s="7" t="n">
        <x:f>MAX(Z13-K13,0)</x:f>
        <x:v>74150.25</x:v>
      </x:c>
      <x:c r="J13" s="7" t="n">
        <x:f>H13-Z13</x:f>
        <x:v>115615</x:v>
      </x:c>
      <x:c r="K13" s="7" t="n">
        <x:v>0</x:v>
      </x:c>
      <x:c r="L13" s="7" t="n">
        <x:f>MAX(K13-Z13,0)</x:f>
        <x:v>0</x:v>
      </x:c>
      <x:c r="M13" s="10" t="n">
        <x:f>IF(P13=0,0,MIN(Q13/P13,1))</x:f>
        <x:v>0.3907472285006996</x:v>
      </x:c>
      <x:c r="N13" s="10" t="n">
        <x:f>ROUND(MIN(R13,'参数'!$B$11)/'参数'!$B$11*'参数'!$B$2+S13/100*'参数'!$B$3+T13*'参数'!$B$4+U13*'参数'!$B$5+MIN(V13,'参数'!$B$12)/'参数'!$B$12*'参数'!$B$6+W13/100*'参数'!$B$7,'参数'!$B$13)</x:f>
        <x:v>0.7135</x:v>
      </x:c>
      <x:c r="O13" s="7"/>
      <x:c r="P13" s="7" t="n">
        <x:v>2044020</x:v>
      </x:c>
      <x:c r="Q13" s="7" t="n">
        <x:v>798695.15</x:v>
      </x:c>
      <x:c r="R13" s="11" t="n">
        <x:v>0</x:v>
      </x:c>
      <x:c r="S13" s="7" t="n">
        <x:v>70</x:v>
      </x:c>
      <x:c r="T13" s="10" t="n">
        <x:v>0.6666666666666666</x:v>
      </x:c>
      <x:c r="U13" s="10" t="n">
        <x:v>1</x:v>
      </x:c>
      <x:c r="V13" s="11" t="n">
        <x:v>5</x:v>
      </x:c>
      <x:c r="W13" s="11" t="n">
        <x:v>74</x:v>
      </x:c>
      <x:c r="X13" s="11"/>
      <x:c r="Y13" s="7" t="str">
        <x:v>负责人评分</x:v>
      </x:c>
      <x:c r="Z13" s="7" t="n">
        <x:f>ROUND(H13*M13,2)</x:f>
        <x:v>74150.25</x:v>
      </x:c>
      <x:c r="AA13" s="7" t="n">
        <x:v>74150.25</x:v>
      </x:c>
      <x:c r="AB13" s="7" t="n">
        <x:v>115615</x:v>
      </x:c>
      <x:c r="AC13" s="10" t="n">
        <x:v>0.7135</x:v>
      </x:c>
      <x:c r="AD13" s="7" t="n">
        <x:f>ROUND(I13-AA13,2)</x:f>
        <x:v>0</x:v>
      </x:c>
      <x:c r="AE13" s="10" t="n">
        <x:f>ROUND(N13-AC13,6)</x:f>
        <x:v>0</x:v>
      </x:c>
    </x:row>
    <x:row r="14" ht="22" customHeight="1">
      <x:c r="A14" s="7" t="str">
        <x:v>QUARTER</x:v>
      </x:c>
      <x:c r="B14" s="7" t="str">
        <x:v>R0</x:v>
      </x:c>
      <x:c r="C14" s="7" t="str">
        <x:v>Q3</x:v>
      </x:c>
      <x:c r="D14" s="7" t="str">
        <x:v>D01</x:v>
      </x:c>
      <x:c r="E14" s="7" t="str">
        <x:v>G03</x:v>
      </x:c>
      <x:c r="F14" s="7" t="str">
        <x:v>E009</x:v>
      </x:c>
      <x:c r="G14" s="7" t="str">
        <x:v>样例员工09</x:v>
      </x:c>
      <x:c r="H14" s="7" t="n">
        <x:v>182771.95</x:v>
      </x:c>
      <x:c r="I14" s="7" t="n">
        <x:f>MAX(Z14-K14,0)</x:f>
        <x:v>68963.64</x:v>
      </x:c>
      <x:c r="J14" s="7" t="n">
        <x:f>H14-Z14</x:f>
        <x:v>113808.31000000001</x:v>
      </x:c>
      <x:c r="K14" s="7" t="n">
        <x:v>0</x:v>
      </x:c>
      <x:c r="L14" s="7" t="n">
        <x:f>MAX(K14-Z14,0)</x:f>
        <x:v>0</x:v>
      </x:c>
      <x:c r="M14" s="10" t="n">
        <x:f>IF(P14=0,0,MIN(Q14/P14,1))</x:f>
        <x:v>0.3773206885559452</x:v>
      </x:c>
      <x:c r="N14" s="10" t="n">
        <x:f>ROUND(MIN(R14,'参数'!$B$11)/'参数'!$B$11*'参数'!$B$2+S14/100*'参数'!$B$3+T14*'参数'!$B$4+U14*'参数'!$B$5+MIN(V14,'参数'!$B$12)/'参数'!$B$12*'参数'!$B$6+W14/100*'参数'!$B$7,'参数'!$B$13)</x:f>
        <x:v>0.741824</x:v>
      </x:c>
      <x:c r="O14" s="7"/>
      <x:c r="P14" s="7" t="n">
        <x:v>2070420</x:v>
      </x:c>
      <x:c r="Q14" s="7" t="n">
        <x:v>781212.3</x:v>
      </x:c>
      <x:c r="R14" s="11" t="n">
        <x:v>9</x:v>
      </x:c>
      <x:c r="S14" s="7" t="n">
        <x:v>67</x:v>
      </x:c>
      <x:c r="T14" s="10" t="n">
        <x:v>0.5760869565217391</x:v>
      </x:c>
      <x:c r="U14" s="10" t="n">
        <x:v>0.876368253968254</x:v>
      </x:c>
      <x:c r="V14" s="11" t="n">
        <x:v>5</x:v>
      </x:c>
      <x:c r="W14" s="11" t="n">
        <x:v>64</x:v>
      </x:c>
      <x:c r="X14" s="11"/>
      <x:c r="Y14" s="7" t="str">
        <x:v>负责人评分</x:v>
      </x:c>
      <x:c r="Z14" s="7" t="n">
        <x:f>ROUND(H14*M14,2)</x:f>
        <x:v>68963.64</x:v>
      </x:c>
      <x:c r="AA14" s="7" t="n">
        <x:v>68963.64</x:v>
      </x:c>
      <x:c r="AB14" s="7" t="n">
        <x:v>113808.31</x:v>
      </x:c>
      <x:c r="AC14" s="10" t="n">
        <x:v>0.741824</x:v>
      </x:c>
      <x:c r="AD14" s="7" t="n">
        <x:f>ROUND(I14-AA14,2)</x:f>
        <x:v>0</x:v>
      </x:c>
      <x:c r="AE14" s="10" t="n">
        <x:f>ROUND(N14-AC14,6)</x:f>
        <x:v>0</x:v>
      </x:c>
    </x:row>
    <x:row r="15" ht="22" customHeight="1">
      <x:c r="A15" s="7" t="str">
        <x:v>QUARTER</x:v>
      </x:c>
      <x:c r="B15" s="7" t="str">
        <x:v>R0</x:v>
      </x:c>
      <x:c r="C15" s="7" t="str">
        <x:v>Q3</x:v>
      </x:c>
      <x:c r="D15" s="7" t="str">
        <x:v>D01</x:v>
      </x:c>
      <x:c r="E15" s="7" t="str">
        <x:v>G03</x:v>
      </x:c>
      <x:c r="F15" s="7" t="str">
        <x:v>E010</x:v>
      </x:c>
      <x:c r="G15" s="7" t="str">
        <x:v>样例员工10</x:v>
      </x:c>
      <x:c r="H15" s="7" t="n">
        <x:v>181858.37</x:v>
      </x:c>
      <x:c r="I15" s="7" t="n">
        <x:f>MAX(Z15-K15,0)</x:f>
        <x:v>66977.65</x:v>
      </x:c>
      <x:c r="J15" s="7" t="n">
        <x:f>H15-Z15</x:f>
        <x:v>114880.72</x:v>
      </x:c>
      <x:c r="K15" s="7" t="n">
        <x:v>0</x:v>
      </x:c>
      <x:c r="L15" s="7" t="n">
        <x:f>MAX(K15-Z15,0)</x:f>
        <x:v>0</x:v>
      </x:c>
      <x:c r="M15" s="10" t="n">
        <x:f>IF(P15=0,0,MIN(Q15/P15,1))</x:f>
        <x:v>0.36829566926158264</x:v>
      </x:c>
      <x:c r="N15" s="10" t="n">
        <x:f>ROUND(MIN(R15,'参数'!$B$11)/'参数'!$B$11*'参数'!$B$2+S15/100*'参数'!$B$3+T15*'参数'!$B$4+U15*'参数'!$B$5+MIN(V15,'参数'!$B$12)/'参数'!$B$12*'参数'!$B$6+W15/100*'参数'!$B$7,'参数'!$B$13)</x:f>
        <x:v>0.738116</x:v>
      </x:c>
      <x:c r="O15" s="7"/>
      <x:c r="P15" s="7" t="n">
        <x:v>1455410</x:v>
      </x:c>
      <x:c r="Q15" s="7" t="n">
        <x:v>536021.2</x:v>
      </x:c>
      <x:c r="R15" s="11" t="n">
        <x:v>6</x:v>
      </x:c>
      <x:c r="S15" s="7" t="n">
        <x:v>79</x:v>
      </x:c>
      <x:c r="T15" s="10" t="n">
        <x:v>0.6666666666666666</x:v>
      </x:c>
      <x:c r="U15" s="10" t="n">
        <x:v>0.718720987654321</x:v>
      </x:c>
      <x:c r="V15" s="11" t="n">
        <x:v>5</x:v>
      </x:c>
      <x:c r="W15" s="11" t="n">
        <x:v>68</x:v>
      </x:c>
      <x:c r="X15" s="11"/>
      <x:c r="Y15" s="7" t="str">
        <x:v>负责人评分</x:v>
      </x:c>
      <x:c r="Z15" s="7" t="n">
        <x:f>ROUND(H15*M15,2)</x:f>
        <x:v>66977.65</x:v>
      </x:c>
      <x:c r="AA15" s="7" t="n">
        <x:v>66977.65</x:v>
      </x:c>
      <x:c r="AB15" s="7" t="n">
        <x:v>114880.72</x:v>
      </x:c>
      <x:c r="AC15" s="10" t="n">
        <x:v>0.738116</x:v>
      </x:c>
      <x:c r="AD15" s="7" t="n">
        <x:f>ROUND(I15-AA15,2)</x:f>
        <x:v>0</x:v>
      </x:c>
      <x:c r="AE15" s="10" t="n">
        <x:f>ROUND(N15-AC15,6)</x:f>
        <x:v>0</x:v>
      </x:c>
    </x:row>
    <x:row r="16" ht="22" customHeight="1">
      <x:c r="A16" s="7" t="str">
        <x:v>QUARTER</x:v>
      </x:c>
      <x:c r="B16" s="7" t="str">
        <x:v>R0</x:v>
      </x:c>
      <x:c r="C16" s="7" t="str">
        <x:v>Q3</x:v>
      </x:c>
      <x:c r="D16" s="7" t="str">
        <x:v>D01</x:v>
      </x:c>
      <x:c r="E16" s="7" t="str">
        <x:v>G03</x:v>
      </x:c>
      <x:c r="F16" s="7" t="str">
        <x:v>E011</x:v>
      </x:c>
      <x:c r="G16" s="7" t="str">
        <x:v>样例员工11</x:v>
      </x:c>
      <x:c r="H16" s="7" t="n">
        <x:v>190656.42</x:v>
      </x:c>
      <x:c r="I16" s="7" t="n">
        <x:f>MAX(Z16-K16,0)</x:f>
        <x:v>67113.63</x:v>
      </x:c>
      <x:c r="J16" s="7" t="n">
        <x:f>H16-Z16</x:f>
        <x:v>123542.79000000001</x:v>
      </x:c>
      <x:c r="K16" s="7" t="n">
        <x:v>0</x:v>
      </x:c>
      <x:c r="L16" s="7" t="n">
        <x:f>MAX(K16-Z16,0)</x:f>
        <x:v>0</x:v>
      </x:c>
      <x:c r="M16" s="10" t="n">
        <x:f>IF(P16=0,0,MIN(Q16/P16,1))</x:f>
        <x:v>0.3520134983127109</x:v>
      </x:c>
      <x:c r="N16" s="10" t="n">
        <x:f>ROUND(MIN(R16,'参数'!$B$11)/'参数'!$B$11*'参数'!$B$2+S16/100*'参数'!$B$3+T16*'参数'!$B$4+U16*'参数'!$B$5+MIN(V16,'参数'!$B$12)/'参数'!$B$12*'参数'!$B$6+W16/100*'参数'!$B$7,'参数'!$B$13)</x:f>
        <x:v>0.773825</x:v>
      </x:c>
      <x:c r="O16" s="7"/>
      <x:c r="P16" s="7" t="n">
        <x:v>1173480</x:v>
      </x:c>
      <x:c r="Q16" s="7" t="n">
        <x:v>413080.8</x:v>
      </x:c>
      <x:c r="R16" s="11" t="n">
        <x:v>3</x:v>
      </x:c>
      <x:c r="S16" s="7" t="n">
        <x:v>71</x:v>
      </x:c>
      <x:c r="T16" s="10" t="n">
        <x:v>0.8103448275862069</x:v>
      </x:c>
      <x:c r="U16" s="10" t="n">
        <x:v>0.8692444444444445</x:v>
      </x:c>
      <x:c r="V16" s="11" t="n">
        <x:v>4</x:v>
      </x:c>
      <x:c r="W16" s="11" t="n">
        <x:v>93</x:v>
      </x:c>
      <x:c r="X16" s="11"/>
      <x:c r="Y16" s="7" t="str">
        <x:v>负责人评分</x:v>
      </x:c>
      <x:c r="Z16" s="7" t="n">
        <x:f>ROUND(H16*M16,2)</x:f>
        <x:v>67113.63</x:v>
      </x:c>
      <x:c r="AA16" s="7" t="n">
        <x:v>67113.63</x:v>
      </x:c>
      <x:c r="AB16" s="7" t="n">
        <x:v>123542.79</x:v>
      </x:c>
      <x:c r="AC16" s="10" t="n">
        <x:v>0.773825</x:v>
      </x:c>
      <x:c r="AD16" s="7" t="n">
        <x:f>ROUND(I16-AA16,2)</x:f>
        <x:v>0</x:v>
      </x:c>
      <x:c r="AE16" s="10" t="n">
        <x:f>ROUND(N16-AC16,6)</x:f>
        <x:v>0</x:v>
      </x:c>
    </x:row>
    <x:row r="17" ht="22" customHeight="1">
      <x:c r="A17" s="7" t="str">
        <x:v>QUARTER</x:v>
      </x:c>
      <x:c r="B17" s="7" t="str">
        <x:v>R0</x:v>
      </x:c>
      <x:c r="C17" s="7" t="str">
        <x:v>Q3</x:v>
      </x:c>
      <x:c r="D17" s="7" t="str">
        <x:v>D01</x:v>
      </x:c>
      <x:c r="E17" s="7" t="str">
        <x:v>G03</x:v>
      </x:c>
      <x:c r="F17" s="7" t="str">
        <x:v>E012</x:v>
      </x:c>
      <x:c r="G17" s="7" t="str">
        <x:v>样例员工12</x:v>
      </x:c>
      <x:c r="H17" s="7" t="n">
        <x:v>165199.01</x:v>
      </x:c>
      <x:c r="I17" s="7" t="n">
        <x:f>MAX(Z17-K17,0)</x:f>
        <x:v>56650.25</x:v>
      </x:c>
      <x:c r="J17" s="7" t="n">
        <x:f>H17-Z17</x:f>
        <x:v>108548.76000000001</x:v>
      </x:c>
      <x:c r="K17" s="7" t="n">
        <x:v>0</x:v>
      </x:c>
      <x:c r="L17" s="7" t="n">
        <x:f>MAX(K17-Z17,0)</x:f>
        <x:v>0</x:v>
      </x:c>
      <x:c r="M17" s="10" t="n">
        <x:f>IF(P17=0,0,MIN(Q17/P17,1))</x:f>
        <x:v>0.3429212401309455</x:v>
      </x:c>
      <x:c r="N17" s="10" t="n">
        <x:f>ROUND(MIN(R17,'参数'!$B$11)/'参数'!$B$11*'参数'!$B$2+S17/100*'参数'!$B$3+T17*'参数'!$B$4+U17*'参数'!$B$5+MIN(V17,'参数'!$B$12)/'参数'!$B$12*'参数'!$B$6+W17/100*'参数'!$B$7,'参数'!$B$13)</x:f>
        <x:v>0.6705</x:v>
      </x:c>
      <x:c r="O17" s="7"/>
      <x:c r="P17" s="7" t="n">
        <x:v>1713690</x:v>
      </x:c>
      <x:c r="Q17" s="7" t="n">
        <x:v>587660.7</x:v>
      </x:c>
      <x:c r="R17" s="11" t="n">
        <x:v>0</x:v>
      </x:c>
      <x:c r="S17" s="7" t="n">
        <x:v>60</x:v>
      </x:c>
      <x:c r="T17" s="10" t="n">
        <x:v>0.6666666666666666</x:v>
      </x:c>
      <x:c r="U17" s="10" t="n">
        <x:v>1</x:v>
      </x:c>
      <x:c r="V17" s="11" t="n">
        <x:v>4</x:v>
      </x:c>
      <x:c r="W17" s="11" t="n">
        <x:v>67</x:v>
      </x:c>
      <x:c r="X17" s="11"/>
      <x:c r="Y17" s="7" t="str">
        <x:v>负责人评分</x:v>
      </x:c>
      <x:c r="Z17" s="7" t="n">
        <x:f>ROUND(H17*M17,2)</x:f>
        <x:v>56650.25</x:v>
      </x:c>
      <x:c r="AA17" s="7" t="n">
        <x:v>56650.25</x:v>
      </x:c>
      <x:c r="AB17" s="7" t="n">
        <x:v>108548.76</x:v>
      </x:c>
      <x:c r="AC17" s="10" t="n">
        <x:v>0.6705</x:v>
      </x:c>
      <x:c r="AD17" s="7" t="n">
        <x:f>ROUND(I17-AA17,2)</x:f>
        <x:v>0</x:v>
      </x:c>
      <x:c r="AE17" s="10" t="n">
        <x:f>ROUND(N17-AC17,6)</x:f>
        <x:v>0</x:v>
      </x:c>
    </x:row>
    <x:row r="18" ht="22" customHeight="1">
      <x:c r="A18" s="7" t="str">
        <x:v>QUARTER</x:v>
      </x:c>
      <x:c r="B18" s="7" t="str">
        <x:v>R0</x:v>
      </x:c>
      <x:c r="C18" s="7" t="str">
        <x:v>Q3</x:v>
      </x:c>
      <x:c r="D18" s="7" t="str">
        <x:v>D02</x:v>
      </x:c>
      <x:c r="E18" s="7" t="str">
        <x:v>G04</x:v>
      </x:c>
      <x:c r="F18" s="7" t="str">
        <x:v>E013</x:v>
      </x:c>
      <x:c r="G18" s="7" t="str">
        <x:v>样例员工13</x:v>
      </x:c>
      <x:c r="H18" s="7" t="n">
        <x:v>147095.47</x:v>
      </x:c>
      <x:c r="I18" s="7" t="n">
        <x:f>MAX(Z18-K18,0)</x:f>
        <x:v>57734.51</x:v>
      </x:c>
      <x:c r="J18" s="7" t="n">
        <x:f>H18-Z18</x:f>
        <x:v>89360.95999999999</x:v>
      </x:c>
      <x:c r="K18" s="7" t="n">
        <x:v>0</x:v>
      </x:c>
      <x:c r="L18" s="7" t="n">
        <x:f>MAX(K18-Z18,0)</x:f>
        <x:v>0</x:v>
      </x:c>
      <x:c r="M18" s="10" t="n">
        <x:f>IF(P18=0,0,MIN(Q18/P18,1))</x:f>
        <x:v>0.3924968890962825</x:v>
      </x:c>
      <x:c r="N18" s="10" t="n">
        <x:f>ROUND(MIN(R18,'参数'!$B$11)/'参数'!$B$11*'参数'!$B$2+S18/100*'参数'!$B$3+T18*'参数'!$B$4+U18*'参数'!$B$5+MIN(V18,'参数'!$B$12)/'参数'!$B$12*'参数'!$B$6+W18/100*'参数'!$B$7,'参数'!$B$13)</x:f>
        <x:v>0.690214</x:v>
      </x:c>
      <x:c r="O18" s="7"/>
      <x:c r="P18" s="7" t="n">
        <x:v>1414380</x:v>
      </x:c>
      <x:c r="Q18" s="7" t="n">
        <x:v>555139.75</x:v>
      </x:c>
      <x:c r="R18" s="11" t="n">
        <x:v>9</x:v>
      </x:c>
      <x:c r="S18" s="7" t="n">
        <x:v>96</x:v>
      </x:c>
      <x:c r="T18" s="10" t="n">
        <x:v>0.807909604519774</x:v>
      </x:c>
      <x:c r="U18" s="10" t="n">
        <x:v>0.33675714285714287</x:v>
      </x:c>
      <x:c r="V18" s="11" t="n">
        <x:v>4</x:v>
      </x:c>
      <x:c r="W18" s="11" t="n">
        <x:v>84</x:v>
      </x:c>
      <x:c r="X18" s="11"/>
      <x:c r="Y18" s="7" t="str">
        <x:v>负责人评分</x:v>
      </x:c>
      <x:c r="Z18" s="7" t="n">
        <x:f>ROUND(H18*M18,2)</x:f>
        <x:v>57734.51</x:v>
      </x:c>
      <x:c r="AA18" s="7" t="n">
        <x:v>57734.51</x:v>
      </x:c>
      <x:c r="AB18" s="7" t="n">
        <x:v>89360.96</x:v>
      </x:c>
      <x:c r="AC18" s="10" t="n">
        <x:v>0.690214</x:v>
      </x:c>
      <x:c r="AD18" s="7" t="n">
        <x:f>ROUND(I18-AA18,2)</x:f>
        <x:v>0</x:v>
      </x:c>
      <x:c r="AE18" s="10" t="n">
        <x:f>ROUND(N18-AC18,6)</x:f>
        <x:v>0</x:v>
      </x:c>
    </x:row>
    <x:row r="19" ht="22" customHeight="1">
      <x:c r="A19" s="7" t="str">
        <x:v>QUARTER</x:v>
      </x:c>
      <x:c r="B19" s="7" t="str">
        <x:v>R0</x:v>
      </x:c>
      <x:c r="C19" s="7" t="str">
        <x:v>Q3</x:v>
      </x:c>
      <x:c r="D19" s="7" t="str">
        <x:v>D02</x:v>
      </x:c>
      <x:c r="E19" s="7" t="str">
        <x:v>G04</x:v>
      </x:c>
      <x:c r="F19" s="7" t="str">
        <x:v>E014</x:v>
      </x:c>
      <x:c r="G19" s="7" t="str">
        <x:v>样例员工14</x:v>
      </x:c>
      <x:c r="H19" s="7" t="n">
        <x:v>139092.77</x:v>
      </x:c>
      <x:c r="I19" s="7" t="n">
        <x:f>MAX(Z19-K19,0)</x:f>
        <x:v>48765.48</x:v>
      </x:c>
      <x:c r="J19" s="7" t="n">
        <x:f>H19-Z19</x:f>
        <x:v>90327.28999999998</x:v>
      </x:c>
      <x:c r="K19" s="7" t="n">
        <x:v>0</x:v>
      </x:c>
      <x:c r="L19" s="7" t="n">
        <x:f>MAX(K19-Z19,0)</x:f>
        <x:v>0</x:v>
      </x:c>
      <x:c r="M19" s="10" t="n">
        <x:f>IF(P19=0,0,MIN(Q19/P19,1))</x:f>
        <x:v>0.35059681247880636</x:v>
      </x:c>
      <x:c r="N19" s="10" t="n">
        <x:f>ROUND(MIN(R19,'参数'!$B$11)/'参数'!$B$11*'参数'!$B$2+S19/100*'参数'!$B$3+T19*'参数'!$B$4+U19*'参数'!$B$5+MIN(V19,'参数'!$B$12)/'参数'!$B$12*'参数'!$B$6+W19/100*'参数'!$B$7,'参数'!$B$13)</x:f>
        <x:v>0.652663</x:v>
      </x:c>
      <x:c r="O19" s="7"/>
      <x:c r="P19" s="7" t="n">
        <x:v>1621950</x:v>
      </x:c>
      <x:c r="Q19" s="7" t="n">
        <x:v>568650.5</x:v>
      </x:c>
      <x:c r="R19" s="11" t="n">
        <x:v>6</x:v>
      </x:c>
      <x:c r="S19" s="7" t="n">
        <x:v>82</x:v>
      </x:c>
      <x:c r="T19" s="10" t="n">
        <x:v>0.6666666666666666</x:v>
      </x:c>
      <x:c r="U19" s="10" t="n">
        <x:v>0.4505416666666667</x:v>
      </x:c>
      <x:c r="V19" s="11" t="n">
        <x:v>4</x:v>
      </x:c>
      <x:c r="W19" s="11" t="n">
        <x:v>69</x:v>
      </x:c>
      <x:c r="X19" s="11"/>
      <x:c r="Y19" s="7" t="str">
        <x:v>负责人评分</x:v>
      </x:c>
      <x:c r="Z19" s="7" t="n">
        <x:f>ROUND(H19*M19,2)</x:f>
        <x:v>48765.48</x:v>
      </x:c>
      <x:c r="AA19" s="7" t="n">
        <x:v>48765.48</x:v>
      </x:c>
      <x:c r="AB19" s="7" t="n">
        <x:v>90327.29</x:v>
      </x:c>
      <x:c r="AC19" s="10" t="n">
        <x:v>0.652663</x:v>
      </x:c>
      <x:c r="AD19" s="7" t="n">
        <x:f>ROUND(I19-AA19,2)</x:f>
        <x:v>0</x:v>
      </x:c>
      <x:c r="AE19" s="10" t="n">
        <x:f>ROUND(N19-AC19,6)</x:f>
        <x:v>0</x:v>
      </x:c>
    </x:row>
    <x:row r="20" ht="22" customHeight="1">
      <x:c r="A20" s="7" t="str">
        <x:v>QUARTER</x:v>
      </x:c>
      <x:c r="B20" s="7" t="str">
        <x:v>R0</x:v>
      </x:c>
      <x:c r="C20" s="7" t="str">
        <x:v>Q3</x:v>
      </x:c>
      <x:c r="D20" s="7" t="str">
        <x:v>D02</x:v>
      </x:c>
      <x:c r="E20" s="7" t="str">
        <x:v>G04</x:v>
      </x:c>
      <x:c r="F20" s="7" t="str">
        <x:v>E015</x:v>
      </x:c>
      <x:c r="G20" s="7" t="str">
        <x:v>样例员工15</x:v>
      </x:c>
      <x:c r="H20" s="7" t="n">
        <x:v>169968.34</x:v>
      </x:c>
      <x:c r="I20" s="7" t="n">
        <x:f>MAX(Z20-K20,0)</x:f>
        <x:v>63132.06</x:v>
      </x:c>
      <x:c r="J20" s="7" t="n">
        <x:f>H20-Z20</x:f>
        <x:v>106836.28</x:v>
      </x:c>
      <x:c r="K20" s="7" t="n">
        <x:v>0</x:v>
      </x:c>
      <x:c r="L20" s="7" t="n">
        <x:f>MAX(K20-Z20,0)</x:f>
        <x:v>0</x:v>
      </x:c>
      <x:c r="M20" s="10" t="n">
        <x:f>IF(P20=0,0,MIN(Q20/P20,1))</x:f>
        <x:v>0.37143422377823604</x:v>
      </x:c>
      <x:c r="N20" s="10" t="n">
        <x:f>ROUND(MIN(R20,'参数'!$B$11)/'参数'!$B$11*'参数'!$B$2+S20/100*'参数'!$B$3+T20*'参数'!$B$4+U20*'参数'!$B$5+MIN(V20,'参数'!$B$12)/'参数'!$B$12*'参数'!$B$6+W20/100*'参数'!$B$7,'参数'!$B$13)</x:f>
        <x:v>0.79754</x:v>
      </x:c>
      <x:c r="O20" s="7"/>
      <x:c r="P20" s="7" t="n">
        <x:v>2293610</x:v>
      </x:c>
      <x:c r="Q20" s="7" t="n">
        <x:v>851925.25</x:v>
      </x:c>
      <x:c r="R20" s="11" t="n">
        <x:v>3</x:v>
      </x:c>
      <x:c r="S20" s="7" t="n">
        <x:v>85</x:v>
      </x:c>
      <x:c r="T20" s="10" t="n">
        <x:v>0.575591985428051</x:v>
      </x:c>
      <x:c r="U20" s="10" t="n">
        <x:v>0.9556708333333334</x:v>
      </x:c>
      <x:c r="V20" s="11" t="n">
        <x:v>5</x:v>
      </x:c>
      <x:c r="W20" s="11" t="n">
        <x:v>88</x:v>
      </x:c>
      <x:c r="X20" s="11"/>
      <x:c r="Y20" s="7" t="str">
        <x:v>负责人评分</x:v>
      </x:c>
      <x:c r="Z20" s="7" t="n">
        <x:f>ROUND(H20*M20,2)</x:f>
        <x:v>63132.06</x:v>
      </x:c>
      <x:c r="AA20" s="7" t="n">
        <x:v>63132.06</x:v>
      </x:c>
      <x:c r="AB20" s="7" t="n">
        <x:v>106836.28</x:v>
      </x:c>
      <x:c r="AC20" s="10" t="n">
        <x:v>0.79754</x:v>
      </x:c>
      <x:c r="AD20" s="7" t="n">
        <x:f>ROUND(I20-AA20,2)</x:f>
        <x:v>0</x:v>
      </x:c>
      <x:c r="AE20" s="10" t="n">
        <x:f>ROUND(N20-AC20,6)</x:f>
        <x:v>0</x:v>
      </x:c>
    </x:row>
    <x:row r="21" ht="22" customHeight="1">
      <x:c r="A21" s="7" t="str">
        <x:v>QUARTER</x:v>
      </x:c>
      <x:c r="B21" s="7" t="str">
        <x:v>R0</x:v>
      </x:c>
      <x:c r="C21" s="7" t="str">
        <x:v>Q3</x:v>
      </x:c>
      <x:c r="D21" s="7" t="str">
        <x:v>D02</x:v>
      </x:c>
      <x:c r="E21" s="7" t="str">
        <x:v>G04</x:v>
      </x:c>
      <x:c r="F21" s="7" t="str">
        <x:v>E016</x:v>
      </x:c>
      <x:c r="G21" s="7" t="str">
        <x:v>样例员工16</x:v>
      </x:c>
      <x:c r="H21" s="7" t="n">
        <x:v>146517.08</x:v>
      </x:c>
      <x:c r="I21" s="7" t="n">
        <x:f>MAX(Z21-K21,0)</x:f>
        <x:v>57906.66</x:v>
      </x:c>
      <x:c r="J21" s="7" t="n">
        <x:f>H21-Z21</x:f>
        <x:v>88610.41999999998</x:v>
      </x:c>
      <x:c r="K21" s="7" t="n">
        <x:v>0</x:v>
      </x:c>
      <x:c r="L21" s="7" t="n">
        <x:f>MAX(K21-Z21,0)</x:f>
        <x:v>0</x:v>
      </x:c>
      <x:c r="M21" s="10" t="n">
        <x:f>IF(P21=0,0,MIN(Q21/P21,1))</x:f>
        <x:v>0.3952212343636928</x:v>
      </x:c>
      <x:c r="N21" s="10" t="n">
        <x:f>ROUND(MIN(R21,'参数'!$B$11)/'参数'!$B$11*'参数'!$B$2+S21/100*'参数'!$B$3+T21*'参数'!$B$4+U21*'参数'!$B$5+MIN(V21,'参数'!$B$12)/'参数'!$B$12*'参数'!$B$6+W21/100*'参数'!$B$7,'参数'!$B$13)</x:f>
        <x:v>0.6875</x:v>
      </x:c>
      <x:c r="O21" s="7"/>
      <x:c r="P21" s="7" t="n">
        <x:v>2128060</x:v>
      </x:c>
      <x:c r="Q21" s="7" t="n">
        <x:v>841054.5</x:v>
      </x:c>
      <x:c r="R21" s="11" t="n">
        <x:v>0</x:v>
      </x:c>
      <x:c r="S21" s="7" t="n">
        <x:v>63</x:v>
      </x:c>
      <x:c r="T21" s="10" t="n">
        <x:v>0.6666666666666666</x:v>
      </x:c>
      <x:c r="U21" s="10" t="n">
        <x:v>1</x:v>
      </x:c>
      <x:c r="V21" s="11" t="n">
        <x:v>5</x:v>
      </x:c>
      <x:c r="W21" s="11" t="n">
        <x:v>66</x:v>
      </x:c>
      <x:c r="X21" s="11"/>
      <x:c r="Y21" s="7" t="str">
        <x:v>负责人评分</x:v>
      </x:c>
      <x:c r="Z21" s="7" t="n">
        <x:f>ROUND(H21*M21,2)</x:f>
        <x:v>57906.66</x:v>
      </x:c>
      <x:c r="AA21" s="7" t="n">
        <x:v>57906.66</x:v>
      </x:c>
      <x:c r="AB21" s="7" t="n">
        <x:v>88610.42</x:v>
      </x:c>
      <x:c r="AC21" s="10" t="n">
        <x:v>0.6875</x:v>
      </x:c>
      <x:c r="AD21" s="7" t="n">
        <x:f>ROUND(I21-AA21,2)</x:f>
        <x:v>0</x:v>
      </x:c>
      <x:c r="AE21" s="10" t="n">
        <x:f>ROUND(N21-AC21,6)</x:f>
        <x:v>0</x:v>
      </x:c>
    </x:row>
    <x:row r="22" ht="22" customHeight="1">
      <x:c r="A22" s="7" t="str">
        <x:v>QUARTER</x:v>
      </x:c>
      <x:c r="B22" s="7" t="str">
        <x:v>R0</x:v>
      </x:c>
      <x:c r="C22" s="7" t="str">
        <x:v>Q3</x:v>
      </x:c>
      <x:c r="D22" s="7" t="str">
        <x:v>D02</x:v>
      </x:c>
      <x:c r="E22" s="7" t="str">
        <x:v>G05</x:v>
      </x:c>
      <x:c r="F22" s="7" t="str">
        <x:v>E017</x:v>
      </x:c>
      <x:c r="G22" s="7" t="str">
        <x:v>样例员工17</x:v>
      </x:c>
      <x:c r="H22" s="7" t="n">
        <x:v>114468.78</x:v>
      </x:c>
      <x:c r="I22" s="7" t="n">
        <x:f>MAX(Z22-K22,0)</x:f>
        <x:v>44228.57</x:v>
      </x:c>
      <x:c r="J22" s="7" t="n">
        <x:f>H22-Z22</x:f>
        <x:v>70240.20999999999</x:v>
      </x:c>
      <x:c r="K22" s="7" t="n">
        <x:v>0</x:v>
      </x:c>
      <x:c r="L22" s="7" t="n">
        <x:f>MAX(K22-Z22,0)</x:f>
        <x:v>0</x:v>
      </x:c>
      <x:c r="M22" s="10" t="n">
        <x:f>IF(P22=0,0,MIN(Q22/P22,1))</x:f>
        <x:v>0.3863811161481944</x:v>
      </x:c>
      <x:c r="N22" s="10" t="n">
        <x:f>ROUND(MIN(R22,'参数'!$B$11)/'参数'!$B$11*'参数'!$B$2+S22/100*'参数'!$B$3+T22*'参数'!$B$4+U22*'参数'!$B$5+MIN(V22,'参数'!$B$12)/'参数'!$B$12*'参数'!$B$6+W22/100*'参数'!$B$7,'参数'!$B$13)</x:f>
        <x:v>0.641298</x:v>
      </x:c>
      <x:c r="O22" s="7"/>
      <x:c r="P22" s="7" t="n">
        <x:v>1407340</x:v>
      </x:c>
      <x:c r="Q22" s="7" t="n">
        <x:v>543769.6</x:v>
      </x:c>
      <x:c r="R22" s="11" t="n">
        <x:v>9</x:v>
      </x:c>
      <x:c r="S22" s="7" t="n">
        <x:v>84</x:v>
      </x:c>
      <x:c r="T22" s="10" t="n">
        <x:v>0.5760869565217391</x:v>
      </x:c>
      <x:c r="U22" s="10" t="n">
        <x:v>0.3829496598639456</x:v>
      </x:c>
      <x:c r="V22" s="11" t="n">
        <x:v>5</x:v>
      </x:c>
      <x:c r="W22" s="11" t="n">
        <x:v>73</x:v>
      </x:c>
      <x:c r="X22" s="11"/>
      <x:c r="Y22" s="7" t="str">
        <x:v>负责人评分</x:v>
      </x:c>
      <x:c r="Z22" s="7" t="n">
        <x:f>ROUND(H22*M22,2)</x:f>
        <x:v>44228.57</x:v>
      </x:c>
      <x:c r="AA22" s="7" t="n">
        <x:v>44228.57</x:v>
      </x:c>
      <x:c r="AB22" s="7" t="n">
        <x:v>70240.21</x:v>
      </x:c>
      <x:c r="AC22" s="10" t="n">
        <x:v>0.641298</x:v>
      </x:c>
      <x:c r="AD22" s="7" t="n">
        <x:f>ROUND(I22-AA22,2)</x:f>
        <x:v>0</x:v>
      </x:c>
      <x:c r="AE22" s="10" t="n">
        <x:f>ROUND(N22-AC22,6)</x:f>
        <x:v>0</x:v>
      </x:c>
    </x:row>
    <x:row r="23" ht="22" customHeight="1">
      <x:c r="A23" s="7" t="str">
        <x:v>QUARTER</x:v>
      </x:c>
      <x:c r="B23" s="7" t="str">
        <x:v>R0</x:v>
      </x:c>
      <x:c r="C23" s="7" t="str">
        <x:v>Q3</x:v>
      </x:c>
      <x:c r="D23" s="7" t="str">
        <x:v>D02</x:v>
      </x:c>
      <x:c r="E23" s="7" t="str">
        <x:v>G05</x:v>
      </x:c>
      <x:c r="F23" s="7" t="str">
        <x:v>E018</x:v>
      </x:c>
      <x:c r="G23" s="7" t="str">
        <x:v>样例员工18</x:v>
      </x:c>
      <x:c r="H23" s="7" t="n">
        <x:v>118685.55</x:v>
      </x:c>
      <x:c r="I23" s="7" t="n">
        <x:f>MAX(Z23-K23,0)</x:f>
        <x:v>44974.27</x:v>
      </x:c>
      <x:c r="J23" s="7" t="n">
        <x:f>H23-Z23</x:f>
        <x:v>73711.28</x:v>
      </x:c>
      <x:c r="K23" s="7" t="n">
        <x:v>0</x:v>
      </x:c>
      <x:c r="L23" s="7" t="n">
        <x:f>MAX(K23-Z23,0)</x:f>
        <x:v>0</x:v>
      </x:c>
      <x:c r="M23" s="10" t="n">
        <x:f>IF(P23=0,0,MIN(Q23/P23,1))</x:f>
        <x:v>0.37893638081526143</x:v>
      </x:c>
      <x:c r="N23" s="10" t="n">
        <x:f>ROUND(MIN(R23,'参数'!$B$11)/'参数'!$B$11*'参数'!$B$2+S23/100*'参数'!$B$3+T23*'参数'!$B$4+U23*'参数'!$B$5+MIN(V23,'参数'!$B$12)/'参数'!$B$12*'参数'!$B$6+W23/100*'参数'!$B$7,'参数'!$B$13)</x:f>
        <x:v>0.664922</x:v>
      </x:c>
      <x:c r="O23" s="7"/>
      <x:c r="P23" s="7" t="n">
        <x:v>1222430</x:v>
      </x:c>
      <x:c r="Q23" s="7" t="n">
        <x:v>463223.2</x:v>
      </x:c>
      <x:c r="R23" s="11" t="n">
        <x:v>6</x:v>
      </x:c>
      <x:c r="S23" s="7" t="n">
        <x:v>77</x:v>
      </x:c>
      <x:c r="T23" s="10" t="n">
        <x:v>0.6666666666666666</x:v>
      </x:c>
      <x:c r="U23" s="10" t="n">
        <x:v>0.38807301587301585</x:v>
      </x:c>
      <x:c r="V23" s="11" t="n">
        <x:v>5</x:v>
      </x:c>
      <x:c r="W23" s="11" t="n">
        <x:v>88</x:v>
      </x:c>
      <x:c r="X23" s="11"/>
      <x:c r="Y23" s="7" t="str">
        <x:v>负责人评分</x:v>
      </x:c>
      <x:c r="Z23" s="7" t="n">
        <x:f>ROUND(H23*M23,2)</x:f>
        <x:v>44974.27</x:v>
      </x:c>
      <x:c r="AA23" s="7" t="n">
        <x:v>44974.27</x:v>
      </x:c>
      <x:c r="AB23" s="7" t="n">
        <x:v>73711.28</x:v>
      </x:c>
      <x:c r="AC23" s="10" t="n">
        <x:v>0.664922</x:v>
      </x:c>
      <x:c r="AD23" s="7" t="n">
        <x:f>ROUND(I23-AA23,2)</x:f>
        <x:v>0</x:v>
      </x:c>
      <x:c r="AE23" s="10" t="n">
        <x:f>ROUND(N23-AC23,6)</x:f>
        <x:v>0</x:v>
      </x:c>
    </x:row>
    <x:row r="24" ht="22" customHeight="1">
      <x:c r="A24" s="7" t="str">
        <x:v>QUARTER</x:v>
      </x:c>
      <x:c r="B24" s="7" t="str">
        <x:v>R0</x:v>
      </x:c>
      <x:c r="C24" s="7" t="str">
        <x:v>Q3</x:v>
      </x:c>
      <x:c r="D24" s="7" t="str">
        <x:v>D02</x:v>
      </x:c>
      <x:c r="E24" s="7" t="str">
        <x:v>G05</x:v>
      </x:c>
      <x:c r="F24" s="7" t="str">
        <x:v>E019</x:v>
      </x:c>
      <x:c r="G24" s="7" t="str">
        <x:v>样例员工19</x:v>
      </x:c>
      <x:c r="H24" s="7" t="n">
        <x:v>119678.52</x:v>
      </x:c>
      <x:c r="I24" s="7" t="n">
        <x:f>MAX(Z24-K24,0)</x:f>
        <x:v>42375.04</x:v>
      </x:c>
      <x:c r="J24" s="7" t="n">
        <x:f>H24-Z24</x:f>
        <x:v>77303.48000000001</x:v>
      </x:c>
      <x:c r="K24" s="7" t="n">
        <x:v>0</x:v>
      </x:c>
      <x:c r="L24" s="7" t="n">
        <x:f>MAX(K24-Z24,0)</x:f>
        <x:v>0</x:v>
      </x:c>
      <x:c r="M24" s="10" t="n">
        <x:f>IF(P24=0,0,MIN(Q24/P24,1))</x:f>
        <x:v>0.3540738846989646</x:v>
      </x:c>
      <x:c r="N24" s="10" t="n">
        <x:f>ROUND(MIN(R24,'参数'!$B$11)/'参数'!$B$11*'参数'!$B$2+S24/100*'参数'!$B$3+T24*'参数'!$B$4+U24*'参数'!$B$5+MIN(V24,'参数'!$B$12)/'参数'!$B$12*'参数'!$B$6+W24/100*'参数'!$B$7,'参数'!$B$13)</x:f>
        <x:v>0.670485</x:v>
      </x:c>
      <x:c r="O24" s="7"/>
      <x:c r="P24" s="7" t="n">
        <x:v>860530</x:v>
      </x:c>
      <x:c r="Q24" s="7" t="n">
        <x:v>304691.2</x:v>
      </x:c>
      <x:c r="R24" s="11" t="n">
        <x:v>3</x:v>
      </x:c>
      <x:c r="S24" s="7" t="n">
        <x:v>95</x:v>
      </x:c>
      <x:c r="T24" s="10" t="n">
        <x:v>0.8103448275862069</x:v>
      </x:c>
      <x:c r="U24" s="10" t="n">
        <x:v>0.40977619047619046</x:v>
      </x:c>
      <x:c r="V24" s="11" t="n">
        <x:v>4</x:v>
      </x:c>
      <x:c r="W24" s="11" t="n">
        <x:v>84</x:v>
      </x:c>
      <x:c r="X24" s="11"/>
      <x:c r="Y24" s="7" t="str">
        <x:v>负责人评分</x:v>
      </x:c>
      <x:c r="Z24" s="7" t="n">
        <x:f>ROUND(H24*M24,2)</x:f>
        <x:v>42375.04</x:v>
      </x:c>
      <x:c r="AA24" s="7" t="n">
        <x:v>42375.04</x:v>
      </x:c>
      <x:c r="AB24" s="7" t="n">
        <x:v>77303.48</x:v>
      </x:c>
      <x:c r="AC24" s="10" t="n">
        <x:v>0.670485</x:v>
      </x:c>
      <x:c r="AD24" s="7" t="n">
        <x:f>ROUND(I24-AA24,2)</x:f>
        <x:v>0</x:v>
      </x:c>
      <x:c r="AE24" s="10" t="n">
        <x:f>ROUND(N24-AC24,6)</x:f>
        <x:v>0</x:v>
      </x:c>
    </x:row>
    <x:row r="25" ht="22" customHeight="1">
      <x:c r="A25" s="7" t="str">
        <x:v>QUARTER</x:v>
      </x:c>
      <x:c r="B25" s="7" t="str">
        <x:v>R0</x:v>
      </x:c>
      <x:c r="C25" s="7" t="str">
        <x:v>Q3</x:v>
      </x:c>
      <x:c r="D25" s="7" t="str">
        <x:v>D02</x:v>
      </x:c>
      <x:c r="E25" s="7" t="str">
        <x:v>G05</x:v>
      </x:c>
      <x:c r="F25" s="7" t="str">
        <x:v>E020</x:v>
      </x:c>
      <x:c r="G25" s="7" t="str">
        <x:v>样例员工20</x:v>
      </x:c>
      <x:c r="H25" s="7" t="n">
        <x:v>110027.99</x:v>
      </x:c>
      <x:c r="I25" s="7" t="n">
        <x:f>MAX(Z25-K25,0)</x:f>
        <x:v>37988.12</x:v>
      </x:c>
      <x:c r="J25" s="7" t="n">
        <x:f>H25-Z25</x:f>
        <x:v>72039.87</x:v>
      </x:c>
      <x:c r="K25" s="7" t="n">
        <x:v>0</x:v>
      </x:c>
      <x:c r="L25" s="7" t="n">
        <x:f>MAX(K25-Z25,0)</x:f>
        <x:v>0</x:v>
      </x:c>
      <x:c r="M25" s="10" t="n">
        <x:f>IF(P25=0,0,MIN(Q25/P25,1))</x:f>
        <x:v>0.3452587117212249</x:v>
      </x:c>
      <x:c r="N25" s="10" t="n">
        <x:f>ROUND(MIN(R25,'参数'!$B$11)/'参数'!$B$11*'参数'!$B$2+S25/100*'参数'!$B$3+T25*'参数'!$B$4+U25*'参数'!$B$5+MIN(V25,'参数'!$B$12)/'参数'!$B$12*'参数'!$B$6+W25/100*'参数'!$B$7,'参数'!$B$13)</x:f>
        <x:v>0.616419</x:v>
      </x:c>
      <x:c r="O25" s="7"/>
      <x:c r="P25" s="7" t="n">
        <x:v>1041700</x:v>
      </x:c>
      <x:c r="Q25" s="7" t="n">
        <x:v>359656</x:v>
      </x:c>
      <x:c r="R25" s="11" t="n">
        <x:v>0</x:v>
      </x:c>
      <x:c r="S25" s="7" t="n">
        <x:v>74</x:v>
      </x:c>
      <x:c r="T25" s="10" t="n">
        <x:v>0.6666666666666666</x:v>
      </x:c>
      <x:c r="U25" s="10" t="n">
        <x:v>0.6613968253968254</x:v>
      </x:c>
      <x:c r="V25" s="11" t="n">
        <x:v>4</x:v>
      </x:c>
      <x:c r="W25" s="11" t="n">
        <x:v>80</x:v>
      </x:c>
      <x:c r="X25" s="11"/>
      <x:c r="Y25" s="7" t="str">
        <x:v>负责人评分</x:v>
      </x:c>
      <x:c r="Z25" s="7" t="n">
        <x:f>ROUND(H25*M25,2)</x:f>
        <x:v>37988.12</x:v>
      </x:c>
      <x:c r="AA25" s="7" t="n">
        <x:v>37988.12</x:v>
      </x:c>
      <x:c r="AB25" s="7" t="n">
        <x:v>72039.87</x:v>
      </x:c>
      <x:c r="AC25" s="10" t="n">
        <x:v>0.616419</x:v>
      </x:c>
      <x:c r="AD25" s="7" t="n">
        <x:f>ROUND(I25-AA25,2)</x:f>
        <x:v>0</x:v>
      </x:c>
      <x:c r="AE25" s="10" t="n">
        <x:f>ROUND(N25-AC25,6)</x:f>
        <x:v>0</x:v>
      </x:c>
    </x:row>
    <x:row r="26" ht="22" customHeight="1">
      <x:c r="A26" s="7" t="str">
        <x:v>QUARTER</x:v>
      </x:c>
      <x:c r="B26" s="7" t="str">
        <x:v>R0</x:v>
      </x:c>
      <x:c r="C26" s="7" t="str">
        <x:v>Q3</x:v>
      </x:c>
      <x:c r="D26" s="7" t="str">
        <x:v>D02</x:v>
      </x:c>
      <x:c r="E26" s="7" t="str">
        <x:v>G06</x:v>
      </x:c>
      <x:c r="F26" s="7" t="str">
        <x:v>E021</x:v>
      </x:c>
      <x:c r="G26" s="7" t="str">
        <x:v>样例员工21</x:v>
      </x:c>
      <x:c r="H26" s="7" t="n">
        <x:v>161731.14</x:v>
      </x:c>
      <x:c r="I26" s="7" t="n">
        <x:f>MAX(Z26-K26,0)</x:f>
        <x:v>0</x:v>
      </x:c>
      <x:c r="J26" s="7" t="n">
        <x:f>H26-Z26</x:f>
        <x:v>161731.14</x:v>
      </x:c>
      <x:c r="K26" s="7" t="n">
        <x:v>0</x:v>
      </x:c>
      <x:c r="L26" s="7" t="n">
        <x:f>MAX(K26-Z26,0)</x:f>
        <x:v>0</x:v>
      </x:c>
      <x:c r="M26" s="10" t="n">
        <x:f>IF(P26=0,0,MIN(Q26/P26,1))</x:f>
        <x:v>0</x:v>
      </x:c>
      <x:c r="N26" s="10" t="n">
        <x:f>ROUND(MIN(R26,'参数'!$B$11)/'参数'!$B$11*'参数'!$B$2+S26/100*'参数'!$B$3+T26*'参数'!$B$4+U26*'参数'!$B$5+MIN(V26,'参数'!$B$12)/'参数'!$B$12*'参数'!$B$6+W26/100*'参数'!$B$7,'参数'!$B$13)</x:f>
        <x:v>0.706681</x:v>
      </x:c>
      <x:c r="O26" s="7"/>
      <x:c r="P26" s="7" t="n">
        <x:v>1474330</x:v>
      </x:c>
      <x:c r="Q26" s="7" t="n">
        <x:v>0</x:v>
      </x:c>
      <x:c r="R26" s="11" t="n">
        <x:v>9</x:v>
      </x:c>
      <x:c r="S26" s="7" t="n">
        <x:v>84</x:v>
      </x:c>
      <x:c r="T26" s="10" t="n">
        <x:v>0.807909604519774</x:v>
      </x:c>
      <x:c r="U26" s="10" t="n">
        <x:v>0.5616495238095238</x:v>
      </x:c>
      <x:c r="V26" s="11" t="n">
        <x:v>4</x:v>
      </x:c>
      <x:c r="W26" s="11" t="n">
        <x:v>66</x:v>
      </x:c>
      <x:c r="X26" s="11"/>
      <x:c r="Y26" s="7" t="str">
        <x:v>负责人评分</x:v>
      </x:c>
      <x:c r="Z26" s="7" t="n">
        <x:f>ROUND(H26*M26,2)</x:f>
        <x:v>0</x:v>
      </x:c>
      <x:c r="AA26" s="7" t="n">
        <x:v>0</x:v>
      </x:c>
      <x:c r="AB26" s="7" t="n">
        <x:v>161731.14</x:v>
      </x:c>
      <x:c r="AC26" s="10" t="n">
        <x:v>0.706681</x:v>
      </x:c>
      <x:c r="AD26" s="7" t="n">
        <x:f>ROUND(I26-AA26,2)</x:f>
        <x:v>0</x:v>
      </x:c>
      <x:c r="AE26" s="10" t="n">
        <x:f>ROUND(N26-AC26,6)</x:f>
        <x:v>0</x:v>
      </x:c>
    </x:row>
    <x:row r="27" ht="22" customHeight="1">
      <x:c r="A27" s="7" t="str">
        <x:v>QUARTER</x:v>
      </x:c>
      <x:c r="B27" s="7" t="str">
        <x:v>R0</x:v>
      </x:c>
      <x:c r="C27" s="7" t="str">
        <x:v>Q3</x:v>
      </x:c>
      <x:c r="D27" s="7" t="str">
        <x:v>D02</x:v>
      </x:c>
      <x:c r="E27" s="7" t="str">
        <x:v>G06</x:v>
      </x:c>
      <x:c r="F27" s="7" t="str">
        <x:v>E022</x:v>
      </x:c>
      <x:c r="G27" s="7" t="str">
        <x:v>样例员工22</x:v>
      </x:c>
      <x:c r="H27" s="7" t="n">
        <x:v>167156.5</x:v>
      </x:c>
      <x:c r="I27" s="7" t="n">
        <x:f>MAX(Z27-K27,0)</x:f>
        <x:v>0</x:v>
      </x:c>
      <x:c r="J27" s="7" t="n">
        <x:f>H27-Z27</x:f>
        <x:v>167156.5</x:v>
      </x:c>
      <x:c r="K27" s="7" t="n">
        <x:v>0</x:v>
      </x:c>
      <x:c r="L27" s="7" t="n">
        <x:f>MAX(K27-Z27,0)</x:f>
        <x:v>0</x:v>
      </x:c>
      <x:c r="M27" s="10" t="n">
        <x:f>IF(P27=0,0,MIN(Q27/P27,1))</x:f>
        <x:v>0</x:v>
      </x:c>
      <x:c r="N27" s="10" t="n">
        <x:f>ROUND(MIN(R27,'参数'!$B$11)/'参数'!$B$11*'参数'!$B$2+S27/100*'参数'!$B$3+T27*'参数'!$B$4+U27*'参数'!$B$5+MIN(V27,'参数'!$B$12)/'参数'!$B$12*'参数'!$B$6+W27/100*'参数'!$B$7,'参数'!$B$13)</x:f>
        <x:v>0.730387</x:v>
      </x:c>
      <x:c r="O27" s="7"/>
      <x:c r="P27" s="7" t="n">
        <x:v>1761650</x:v>
      </x:c>
      <x:c r="Q27" s="7" t="n">
        <x:v>0</x:v>
      </x:c>
      <x:c r="R27" s="11" t="n">
        <x:v>6</x:v>
      </x:c>
      <x:c r="S27" s="7" t="n">
        <x:v>65</x:v>
      </x:c>
      <x:c r="T27" s="10" t="n">
        <x:v>0.6666666666666666</x:v>
      </x:c>
      <x:c r="U27" s="10" t="n">
        <x:v>0.7829555555555555</x:v>
      </x:c>
      <x:c r="V27" s="11" t="n">
        <x:v>4</x:v>
      </x:c>
      <x:c r="W27" s="11" t="n">
        <x:v>77</x:v>
      </x:c>
      <x:c r="X27" s="11"/>
      <x:c r="Y27" s="7" t="str">
        <x:v>负责人评分</x:v>
      </x:c>
      <x:c r="Z27" s="7" t="n">
        <x:f>ROUND(H27*M27,2)</x:f>
        <x:v>0</x:v>
      </x:c>
      <x:c r="AA27" s="7" t="n">
        <x:v>0</x:v>
      </x:c>
      <x:c r="AB27" s="7" t="n">
        <x:v>167156.5</x:v>
      </x:c>
      <x:c r="AC27" s="10" t="n">
        <x:v>0.730387</x:v>
      </x:c>
      <x:c r="AD27" s="7" t="n">
        <x:f>ROUND(I27-AA27,2)</x:f>
        <x:v>0</x:v>
      </x:c>
      <x:c r="AE27" s="10" t="n">
        <x:f>ROUND(N27-AC27,6)</x:f>
        <x:v>0</x:v>
      </x:c>
    </x:row>
    <x:row r="28" ht="22" customHeight="1">
      <x:c r="A28" s="7" t="str">
        <x:v>QUARTER</x:v>
      </x:c>
      <x:c r="B28" s="7" t="str">
        <x:v>R0</x:v>
      </x:c>
      <x:c r="C28" s="7" t="str">
        <x:v>Q3</x:v>
      </x:c>
      <x:c r="D28" s="7" t="str">
        <x:v>D02</x:v>
      </x:c>
      <x:c r="E28" s="7" t="str">
        <x:v>G06</x:v>
      </x:c>
      <x:c r="F28" s="7" t="str">
        <x:v>E023</x:v>
      </x:c>
      <x:c r="G28" s="7" t="str">
        <x:v>样例员工23</x:v>
      </x:c>
      <x:c r="H28" s="7" t="n">
        <x:v>191633.55</x:v>
      </x:c>
      <x:c r="I28" s="7" t="n">
        <x:f>MAX(Z28-K28,0)</x:f>
        <x:v>0</x:v>
      </x:c>
      <x:c r="J28" s="7" t="n">
        <x:f>H28-Z28</x:f>
        <x:v>191633.55</x:v>
      </x:c>
      <x:c r="K28" s="7" t="n">
        <x:v>0</x:v>
      </x:c>
      <x:c r="L28" s="7" t="n">
        <x:f>MAX(K28-Z28,0)</x:f>
        <x:v>0</x:v>
      </x:c>
      <x:c r="M28" s="10" t="n">
        <x:f>IF(P28=0,0,MIN(Q28/P28,1))</x:f>
        <x:v>0</x:v>
      </x:c>
      <x:c r="N28" s="10" t="n">
        <x:f>ROUND(MIN(R28,'参数'!$B$11)/'参数'!$B$11*'参数'!$B$2+S28/100*'参数'!$B$3+T28*'参数'!$B$4+U28*'参数'!$B$5+MIN(V28,'参数'!$B$12)/'参数'!$B$12*'参数'!$B$6+W28/100*'参数'!$B$7,'参数'!$B$13)</x:f>
        <x:v>0.837339</x:v>
      </x:c>
      <x:c r="O28" s="7"/>
      <x:c r="P28" s="7" t="n">
        <x:v>2075810</x:v>
      </x:c>
      <x:c r="Q28" s="7" t="n">
        <x:v>0</x:v>
      </x:c>
      <x:c r="R28" s="11" t="n">
        <x:v>3</x:v>
      </x:c>
      <x:c r="S28" s="7" t="n">
        <x:v>93</x:v>
      </x:c>
      <x:c r="T28" s="10" t="n">
        <x:v>0.575591985428051</x:v>
      </x:c>
      <x:c r="U28" s="10" t="n">
        <x:v>1</x:v>
      </x:c>
      <x:c r="V28" s="11" t="n">
        <x:v>5</x:v>
      </x:c>
      <x:c r="W28" s="11" t="n">
        <x:v>95</x:v>
      </x:c>
      <x:c r="X28" s="11"/>
      <x:c r="Y28" s="7" t="str">
        <x:v>负责人评分</x:v>
      </x:c>
      <x:c r="Z28" s="7" t="n">
        <x:f>ROUND(H28*M28,2)</x:f>
        <x:v>0</x:v>
      </x:c>
      <x:c r="AA28" s="7" t="n">
        <x:v>0</x:v>
      </x:c>
      <x:c r="AB28" s="7" t="n">
        <x:v>191633.55</x:v>
      </x:c>
      <x:c r="AC28" s="10" t="n">
        <x:v>0.837339</x:v>
      </x:c>
      <x:c r="AD28" s="7" t="n">
        <x:f>ROUND(I28-AA28,2)</x:f>
        <x:v>0</x:v>
      </x:c>
      <x:c r="AE28" s="10" t="n">
        <x:f>ROUND(N28-AC28,6)</x:f>
        <x:v>0</x:v>
      </x:c>
    </x:row>
    <x:row r="29" ht="22" customHeight="1">
      <x:c r="A29" s="7" t="str">
        <x:v>QUARTER</x:v>
      </x:c>
      <x:c r="B29" s="7" t="str">
        <x:v>R0</x:v>
      </x:c>
      <x:c r="C29" s="7" t="str">
        <x:v>Q3</x:v>
      </x:c>
      <x:c r="D29" s="7" t="str">
        <x:v>D02</x:v>
      </x:c>
      <x:c r="E29" s="7" t="str">
        <x:v>G06</x:v>
      </x:c>
      <x:c r="F29" s="7" t="str">
        <x:v>E024</x:v>
      </x:c>
      <x:c r="G29" s="7" t="str">
        <x:v>样例员工24</x:v>
      </x:c>
      <x:c r="H29" s="7" t="n">
        <x:v>163978.31</x:v>
      </x:c>
      <x:c r="I29" s="7" t="n">
        <x:f>MAX(Z29-K29,0)</x:f>
        <x:v>0</x:v>
      </x:c>
      <x:c r="J29" s="7" t="n">
        <x:f>H29-Z29</x:f>
        <x:v>163978.31</x:v>
      </x:c>
      <x:c r="K29" s="7" t="n">
        <x:v>0</x:v>
      </x:c>
      <x:c r="L29" s="7" t="n">
        <x:f>MAX(K29-Z29,0)</x:f>
        <x:v>0</x:v>
      </x:c>
      <x:c r="M29" s="10" t="n">
        <x:f>IF(P29=0,0,MIN(Q29/P29,1))</x:f>
        <x:v>0</x:v>
      </x:c>
      <x:c r="N29" s="10" t="n">
        <x:f>ROUND(MIN(R29,'参数'!$B$11)/'参数'!$B$11*'参数'!$B$2+S29/100*'参数'!$B$3+T29*'参数'!$B$4+U29*'参数'!$B$5+MIN(V29,'参数'!$B$12)/'参数'!$B$12*'参数'!$B$6+W29/100*'参数'!$B$7,'参数'!$B$13)</x:f>
        <x:v>0.7165</x:v>
      </x:c>
      <x:c r="O29" s="7"/>
      <x:c r="P29" s="7" t="n">
        <x:v>2014210</x:v>
      </x:c>
      <x:c r="Q29" s="7" t="n">
        <x:v>0</x:v>
      </x:c>
      <x:c r="R29" s="11" t="n">
        <x:v>0</x:v>
      </x:c>
      <x:c r="S29" s="7" t="n">
        <x:v>76</x:v>
      </x:c>
      <x:c r="T29" s="10" t="n">
        <x:v>0.6666666666666666</x:v>
      </x:c>
      <x:c r="U29" s="10" t="n">
        <x:v>1</x:v>
      </x:c>
      <x:c r="V29" s="11" t="n">
        <x:v>5</x:v>
      </x:c>
      <x:c r="W29" s="11" t="n">
        <x:v>68</x:v>
      </x:c>
      <x:c r="X29" s="11"/>
      <x:c r="Y29" s="7" t="str">
        <x:v>负责人评分</x:v>
      </x:c>
      <x:c r="Z29" s="7" t="n">
        <x:f>ROUND(H29*M29,2)</x:f>
        <x:v>0</x:v>
      </x:c>
      <x:c r="AA29" s="7" t="n">
        <x:v>0</x:v>
      </x:c>
      <x:c r="AB29" s="7" t="n">
        <x:v>163978.31</x:v>
      </x:c>
      <x:c r="AC29" s="10" t="n">
        <x:v>0.7165</x:v>
      </x:c>
      <x:c r="AD29" s="7" t="n">
        <x:f>ROUND(I29-AA29,2)</x:f>
        <x:v>0</x:v>
      </x:c>
      <x:c r="AE29" s="10" t="n">
        <x:f>ROUND(N29-AC29,6)</x:f>
        <x:v>0</x:v>
      </x:c>
    </x:row>
    <x:row r="30" ht="22" customHeight="1">
      <x:c r="A30" s="7" t="str">
        <x:v>QUARTER</x:v>
      </x:c>
      <x:c r="B30" s="7" t="str">
        <x:v>R1</x:v>
      </x:c>
      <x:c r="C30" s="7" t="str">
        <x:v>Q3</x:v>
      </x:c>
      <x:c r="D30" s="7" t="str">
        <x:v>D01</x:v>
      </x:c>
      <x:c r="E30" s="7" t="str">
        <x:v>G01</x:v>
      </x:c>
      <x:c r="F30" s="7" t="str">
        <x:v>E001</x:v>
      </x:c>
      <x:c r="G30" s="7" t="str">
        <x:v>样例员工01</x:v>
      </x:c>
      <x:c r="H30" s="7" t="n">
        <x:v>225182.62</x:v>
      </x:c>
      <x:c r="I30" s="7" t="n">
        <x:f>MAX(Z30-K30,0)</x:f>
        <x:v>88720.85</x:v>
      </x:c>
      <x:c r="J30" s="7" t="n">
        <x:f>H30-Z30</x:f>
        <x:v>136461.77</x:v>
      </x:c>
      <x:c r="K30" s="7" t="n">
        <x:v>0</x:v>
      </x:c>
      <x:c r="L30" s="7" t="n">
        <x:f>MAX(K30-Z30,0)</x:f>
        <x:v>0</x:v>
      </x:c>
      <x:c r="M30" s="10" t="n">
        <x:f>IF(P30=0,0,MIN(Q30/P30,1))</x:f>
        <x:v>0.3939951024850354</x:v>
      </x:c>
      <x:c r="N30" s="10" t="n">
        <x:f>ROUND(MIN(R30,'参数'!$B$11)/'参数'!$B$11*'参数'!$B$2+S30/100*'参数'!$B$3+T30*'参数'!$B$4+U30*'参数'!$B$5+MIN(V30,'参数'!$B$12)/'参数'!$B$12*'参数'!$B$6+W30/100*'参数'!$B$7,'参数'!$B$13)</x:f>
        <x:v>0.728431</x:v>
      </x:c>
      <x:c r="O30" s="7"/>
      <x:c r="P30" s="7" t="n">
        <x:v>2425720</x:v>
      </x:c>
      <x:c r="Q30" s="7" t="n">
        <x:v>955721.8</x:v>
      </x:c>
      <x:c r="R30" s="11" t="n">
        <x:v>9</x:v>
      </x:c>
      <x:c r="S30" s="7" t="n">
        <x:v>97</x:v>
      </x:c>
      <x:c r="T30" s="10" t="n">
        <x:v>0.5760869565217391</x:v>
      </x:c>
      <x:c r="U30" s="10" t="n">
        <x:v>0.6417248677248677</x:v>
      </x:c>
      <x:c r="V30" s="11" t="n">
        <x:v>5</x:v>
      </x:c>
      <x:c r="W30" s="11" t="n">
        <x:v>62</x:v>
      </x:c>
      <x:c r="X30" s="11" t="n">
        <x:v>97</x:v>
      </x:c>
      <x:c r="Y30" s="7" t="str">
        <x:v>AI建议经人工确认</x:v>
      </x:c>
      <x:c r="Z30" s="7" t="n">
        <x:f>ROUND(H30*M30,2)</x:f>
        <x:v>88720.85</x:v>
      </x:c>
      <x:c r="AA30" s="7" t="n">
        <x:v>88720.85</x:v>
      </x:c>
      <x:c r="AB30" s="7" t="n">
        <x:v>136461.77</x:v>
      </x:c>
      <x:c r="AC30" s="10" t="n">
        <x:v>0.728431</x:v>
      </x:c>
      <x:c r="AD30" s="7" t="n">
        <x:f>ROUND(I30-AA30,2)</x:f>
        <x:v>0</x:v>
      </x:c>
      <x:c r="AE30" s="10" t="n">
        <x:f>ROUND(N30-AC30,6)</x:f>
        <x:v>0</x:v>
      </x:c>
    </x:row>
    <x:row r="31" ht="22" customHeight="1">
      <x:c r="A31" s="7" t="str">
        <x:v>QUARTER</x:v>
      </x:c>
      <x:c r="B31" s="7" t="str">
        <x:v>R1</x:v>
      </x:c>
      <x:c r="C31" s="7" t="str">
        <x:v>Q3</x:v>
      </x:c>
      <x:c r="D31" s="7" t="str">
        <x:v>D01</x:v>
      </x:c>
      <x:c r="E31" s="7" t="str">
        <x:v>G01</x:v>
      </x:c>
      <x:c r="F31" s="7" t="str">
        <x:v>E002</x:v>
      </x:c>
      <x:c r="G31" s="7" t="str">
        <x:v>样例员工02</x:v>
      </x:c>
      <x:c r="H31" s="7" t="n">
        <x:v>232884.07</x:v>
      </x:c>
      <x:c r="I31" s="7" t="n">
        <x:f>MAX(Z31-K31,0)</x:f>
        <x:v>89205.59</x:v>
      </x:c>
      <x:c r="J31" s="7" t="n">
        <x:f>H31-Z31</x:f>
        <x:v>143678.48</x:v>
      </x:c>
      <x:c r="K31" s="7" t="n">
        <x:v>0</x:v>
      </x:c>
      <x:c r="L31" s="7" t="n">
        <x:f>MAX(K31-Z31,0)</x:f>
        <x:v>0</x:v>
      </x:c>
      <x:c r="M31" s="10" t="n">
        <x:f>IF(P31=0,0,MIN(Q31/P31,1))</x:f>
        <x:v>0.3830472103004292</x:v>
      </x:c>
      <x:c r="N31" s="10" t="n">
        <x:f>ROUND(MIN(R31,'参数'!$B$11)/'参数'!$B$11*'参数'!$B$2+S31/100*'参数'!$B$3+T31*'参数'!$B$4+U31*'参数'!$B$5+MIN(V31,'参数'!$B$12)/'参数'!$B$12*'参数'!$B$6+W31/100*'参数'!$B$7,'参数'!$B$13)</x:f>
        <x:v>0.753344</x:v>
      </x:c>
      <x:c r="O31" s="7"/>
      <x:c r="P31" s="7" t="n">
        <x:v>2152920</x:v>
      </x:c>
      <x:c r="Q31" s="7" t="n">
        <x:v>824670</x:v>
      </x:c>
      <x:c r="R31" s="11" t="n">
        <x:v>6</x:v>
      </x:c>
      <x:c r="S31" s="7" t="n">
        <x:v>94</x:v>
      </x:c>
      <x:c r="T31" s="10" t="n">
        <x:v>0.6666666666666666</x:v>
      </x:c>
      <x:c r="U31" s="10" t="n">
        <x:v>0.6644814814814815</x:v>
      </x:c>
      <x:c r="V31" s="11" t="n">
        <x:v>5</x:v>
      </x:c>
      <x:c r="W31" s="11" t="n">
        <x:v>69</x:v>
      </x:c>
      <x:c r="X31" s="11" t="n">
        <x:v>76</x:v>
      </x:c>
      <x:c r="Y31" s="7" t="str">
        <x:v>AI建议经人工确认</x:v>
      </x:c>
      <x:c r="Z31" s="7" t="n">
        <x:f>ROUND(H31*M31,2)</x:f>
        <x:v>89205.59</x:v>
      </x:c>
      <x:c r="AA31" s="7" t="n">
        <x:v>89205.59</x:v>
      </x:c>
      <x:c r="AB31" s="7" t="n">
        <x:v>143678.48</x:v>
      </x:c>
      <x:c r="AC31" s="10" t="n">
        <x:v>0.753344</x:v>
      </x:c>
      <x:c r="AD31" s="7" t="n">
        <x:f>ROUND(I31-AA31,2)</x:f>
        <x:v>0</x:v>
      </x:c>
      <x:c r="AE31" s="10" t="n">
        <x:f>ROUND(N31-AC31,6)</x:f>
        <x:v>0</x:v>
      </x:c>
    </x:row>
    <x:row r="32" ht="22" customHeight="1">
      <x:c r="A32" s="7" t="str">
        <x:v>QUARTER</x:v>
      </x:c>
      <x:c r="B32" s="7" t="str">
        <x:v>R1</x:v>
      </x:c>
      <x:c r="C32" s="7" t="str">
        <x:v>Q3</x:v>
      </x:c>
      <x:c r="D32" s="7" t="str">
        <x:v>D01</x:v>
      </x:c>
      <x:c r="E32" s="7" t="str">
        <x:v>G01</x:v>
      </x:c>
      <x:c r="F32" s="7" t="str">
        <x:v>E003</x:v>
      </x:c>
      <x:c r="G32" s="7" t="str">
        <x:v>样例员工03</x:v>
      </x:c>
      <x:c r="H32" s="7" t="n">
        <x:v>218275.03</x:v>
      </x:c>
      <x:c r="I32" s="7" t="n">
        <x:f>MAX(Z32-K32,0)</x:f>
        <x:v>76495.66</x:v>
      </x:c>
      <x:c r="J32" s="7" t="n">
        <x:f>H32-Z32</x:f>
        <x:v>141779.37</x:v>
      </x:c>
      <x:c r="K32" s="7" t="n">
        <x:v>0</x:v>
      </x:c>
      <x:c r="L32" s="7" t="n">
        <x:f>MAX(K32-Z32,0)</x:f>
        <x:v>0</x:v>
      </x:c>
      <x:c r="M32" s="10" t="n">
        <x:f>IF(P32=0,0,MIN(Q32/P32,1))</x:f>
        <x:v>0.3504553971486762</x:v>
      </x:c>
      <x:c r="N32" s="10" t="n">
        <x:f>ROUND(MIN(R32,'参数'!$B$11)/'参数'!$B$11*'参数'!$B$2+S32/100*'参数'!$B$3+T32*'参数'!$B$4+U32*'参数'!$B$5+MIN(V32,'参数'!$B$12)/'参数'!$B$12*'参数'!$B$6+W32/100*'参数'!$B$7,'参数'!$B$13)</x:f>
        <x:v>0.706086</x:v>
      </x:c>
      <x:c r="O32" s="7"/>
      <x:c r="P32" s="7" t="n">
        <x:v>1350250</x:v>
      </x:c>
      <x:c r="Q32" s="7" t="n">
        <x:v>473202.4</x:v>
      </x:c>
      <x:c r="R32" s="11" t="n">
        <x:v>3</x:v>
      </x:c>
      <x:c r="S32" s="7" t="n">
        <x:v>97</x:v>
      </x:c>
      <x:c r="T32" s="10" t="n">
        <x:v>0.8103448275862069</x:v>
      </x:c>
      <x:c r="U32" s="10" t="n">
        <x:v>0.6251157407407407</x:v>
      </x:c>
      <x:c r="V32" s="11" t="n">
        <x:v>4</x:v>
      </x:c>
      <x:c r="W32" s="11" t="n">
        <x:v>62</x:v>
      </x:c>
      <x:c r="X32" s="11" t="n">
        <x:v>97</x:v>
      </x:c>
      <x:c r="Y32" s="7" t="str">
        <x:v>AI建议经人工确认</x:v>
      </x:c>
      <x:c r="Z32" s="7" t="n">
        <x:f>ROUND(H32*M32,2)</x:f>
        <x:v>76495.66</x:v>
      </x:c>
      <x:c r="AA32" s="7" t="n">
        <x:v>76495.66</x:v>
      </x:c>
      <x:c r="AB32" s="7" t="n">
        <x:v>141779.37</x:v>
      </x:c>
      <x:c r="AC32" s="10" t="n">
        <x:v>0.706086</x:v>
      </x:c>
      <x:c r="AD32" s="7" t="n">
        <x:f>ROUND(I32-AA32,2)</x:f>
        <x:v>0</x:v>
      </x:c>
      <x:c r="AE32" s="10" t="n">
        <x:f>ROUND(N32-AC32,6)</x:f>
        <x:v>0</x:v>
      </x:c>
    </x:row>
    <x:row r="33" ht="22" customHeight="1">
      <x:c r="A33" s="7" t="str">
        <x:v>QUARTER</x:v>
      </x:c>
      <x:c r="B33" s="7" t="str">
        <x:v>R1</x:v>
      </x:c>
      <x:c r="C33" s="7" t="str">
        <x:v>Q3</x:v>
      </x:c>
      <x:c r="D33" s="7" t="str">
        <x:v>D01</x:v>
      </x:c>
      <x:c r="E33" s="7" t="str">
        <x:v>G01</x:v>
      </x:c>
      <x:c r="F33" s="7" t="str">
        <x:v>E004</x:v>
      </x:c>
      <x:c r="G33" s="7" t="str">
        <x:v>样例员工04</x:v>
      </x:c>
      <x:c r="H33" s="7" t="n">
        <x:v>223658.28</x:v>
      </x:c>
      <x:c r="I33" s="7" t="n">
        <x:f>MAX(Z33-K33,0)</x:f>
        <x:v>76239</x:v>
      </x:c>
      <x:c r="J33" s="7" t="n">
        <x:f>H33-Z33</x:f>
        <x:v>147419.28</x:v>
      </x:c>
      <x:c r="K33" s="7" t="n">
        <x:v>0</x:v>
      </x:c>
      <x:c r="L33" s="7" t="n">
        <x:f>MAX(K33-Z33,0)</x:f>
        <x:v>0</x:v>
      </x:c>
      <x:c r="M33" s="10" t="n">
        <x:f>IF(P33=0,0,MIN(Q33/P33,1))</x:f>
        <x:v>0.34087267060580484</x:v>
      </x:c>
      <x:c r="N33" s="10" t="n">
        <x:f>ROUND(MIN(R33,'参数'!$B$11)/'参数'!$B$11*'参数'!$B$2+S33/100*'参数'!$B$3+T33*'参数'!$B$4+U33*'参数'!$B$5+MIN(V33,'参数'!$B$12)/'参数'!$B$12*'参数'!$B$6+W33/100*'参数'!$B$7,'参数'!$B$13)</x:f>
        <x:v>0.7235</x:v>
      </x:c>
      <x:c r="O33" s="7"/>
      <x:c r="P33" s="7" t="n">
        <x:v>1694110</x:v>
      </x:c>
      <x:c r="Q33" s="7" t="n">
        <x:v>577475.8</x:v>
      </x:c>
      <x:c r="R33" s="11" t="n">
        <x:v>0</x:v>
      </x:c>
      <x:c r="S33" s="7" t="n">
        <x:v>82</x:v>
      </x:c>
      <x:c r="T33" s="10" t="n">
        <x:v>0.6666666666666666</x:v>
      </x:c>
      <x:c r="U33" s="10" t="n">
        <x:v>1</x:v>
      </x:c>
      <x:c r="V33" s="11" t="n">
        <x:v>4</x:v>
      </x:c>
      <x:c r="W33" s="11" t="n">
        <x:v>73</x:v>
      </x:c>
      <x:c r="X33" s="11" t="n">
        <x:v>73</x:v>
      </x:c>
      <x:c r="Y33" s="7" t="str">
        <x:v>AI建议经人工确认</x:v>
      </x:c>
      <x:c r="Z33" s="7" t="n">
        <x:f>ROUND(H33*M33,2)</x:f>
        <x:v>76239</x:v>
      </x:c>
      <x:c r="AA33" s="7" t="n">
        <x:v>76239</x:v>
      </x:c>
      <x:c r="AB33" s="7" t="n">
        <x:v>147419.28</x:v>
      </x:c>
      <x:c r="AC33" s="10" t="n">
        <x:v>0.7235</x:v>
      </x:c>
      <x:c r="AD33" s="7" t="n">
        <x:f>ROUND(I33-AA33,2)</x:f>
        <x:v>0</x:v>
      </x:c>
      <x:c r="AE33" s="10" t="n">
        <x:f>ROUND(N33-AC33,6)</x:f>
        <x:v>0</x:v>
      </x:c>
    </x:row>
    <x:row r="34" ht="22" customHeight="1">
      <x:c r="A34" s="7" t="str">
        <x:v>QUARTER</x:v>
      </x:c>
      <x:c r="B34" s="7" t="str">
        <x:v>R1</x:v>
      </x:c>
      <x:c r="C34" s="7" t="str">
        <x:v>Q3</x:v>
      </x:c>
      <x:c r="D34" s="7" t="str">
        <x:v>D01</x:v>
      </x:c>
      <x:c r="E34" s="7" t="str">
        <x:v>G02</x:v>
      </x:c>
      <x:c r="F34" s="7" t="str">
        <x:v>E005</x:v>
      </x:c>
      <x:c r="G34" s="7" t="str">
        <x:v>样例员工05</x:v>
      </x:c>
      <x:c r="H34" s="7" t="n">
        <x:v>152071.79</x:v>
      </x:c>
      <x:c r="I34" s="7" t="n">
        <x:f>MAX(Z34-K34,0)</x:f>
        <x:v>58724.63</x:v>
      </x:c>
      <x:c r="J34" s="7" t="n">
        <x:f>H34-Z34</x:f>
        <x:v>93347.16</x:v>
      </x:c>
      <x:c r="K34" s="7" t="n">
        <x:v>0</x:v>
      </x:c>
      <x:c r="L34" s="7" t="n">
        <x:f>MAX(K34-Z34,0)</x:f>
        <x:v>0</x:v>
      </x:c>
      <x:c r="M34" s="10" t="n">
        <x:f>IF(P34=0,0,MIN(Q34/P34,1))</x:f>
        <x:v>0.38616384357193034</x:v>
      </x:c>
      <x:c r="N34" s="10" t="n">
        <x:f>ROUND(MIN(R34,'参数'!$B$11)/'参数'!$B$11*'参数'!$B$2+S34/100*'参数'!$B$3+T34*'参数'!$B$4+U34*'参数'!$B$5+MIN(V34,'参数'!$B$12)/'参数'!$B$12*'参数'!$B$6+W34/100*'参数'!$B$7,'参数'!$B$13)</x:f>
        <x:v>0.679506</x:v>
      </x:c>
      <x:c r="O34" s="7"/>
      <x:c r="P34" s="7" t="n">
        <x:v>1409210</x:v>
      </x:c>
      <x:c r="Q34" s="7" t="n">
        <x:v>544185.95</x:v>
      </x:c>
      <x:c r="R34" s="11" t="n">
        <x:v>9</x:v>
      </x:c>
      <x:c r="S34" s="7" t="n">
        <x:v>72</x:v>
      </x:c>
      <x:c r="T34" s="10" t="n">
        <x:v>0.807909604519774</x:v>
      </x:c>
      <x:c r="U34" s="10" t="n">
        <x:v>0.4260650037792895</x:v>
      </x:c>
      <x:c r="V34" s="11" t="n">
        <x:v>4</x:v>
      </x:c>
      <x:c r="W34" s="11" t="n">
        <x:v>91</x:v>
      </x:c>
      <x:c r="X34" s="11" t="n">
        <x:v>63</x:v>
      </x:c>
      <x:c r="Y34" s="7" t="str">
        <x:v>AI建议经人工确认</x:v>
      </x:c>
      <x:c r="Z34" s="7" t="n">
        <x:f>ROUND(H34*M34,2)</x:f>
        <x:v>58724.63</x:v>
      </x:c>
      <x:c r="AA34" s="7" t="n">
        <x:v>58724.63</x:v>
      </x:c>
      <x:c r="AB34" s="7" t="n">
        <x:v>93347.16</x:v>
      </x:c>
      <x:c r="AC34" s="10" t="n">
        <x:v>0.679506</x:v>
      </x:c>
      <x:c r="AD34" s="7" t="n">
        <x:f>ROUND(I34-AA34,2)</x:f>
        <x:v>0</x:v>
      </x:c>
      <x:c r="AE34" s="10" t="n">
        <x:f>ROUND(N34-AC34,6)</x:f>
        <x:v>0</x:v>
      </x:c>
    </x:row>
    <x:row r="35" ht="22" customHeight="1">
      <x:c r="A35" s="7" t="str">
        <x:v>QUARTER</x:v>
      </x:c>
      <x:c r="B35" s="7" t="str">
        <x:v>R1</x:v>
      </x:c>
      <x:c r="C35" s="7" t="str">
        <x:v>Q3</x:v>
      </x:c>
      <x:c r="D35" s="7" t="str">
        <x:v>D01</x:v>
      </x:c>
      <x:c r="E35" s="7" t="str">
        <x:v>G02</x:v>
      </x:c>
      <x:c r="F35" s="7" t="str">
        <x:v>E006</x:v>
      </x:c>
      <x:c r="G35" s="7" t="str">
        <x:v>样例员工06</x:v>
      </x:c>
      <x:c r="H35" s="7" t="n">
        <x:v>157936.85</x:v>
      </x:c>
      <x:c r="I35" s="7" t="n">
        <x:f>MAX(Z35-K35,0)</x:f>
        <x:v>52234.51</x:v>
      </x:c>
      <x:c r="J35" s="7" t="n">
        <x:f>H35-Z35</x:f>
        <x:v>105702.34</x:v>
      </x:c>
      <x:c r="K35" s="7" t="n">
        <x:v>0</x:v>
      </x:c>
      <x:c r="L35" s="7" t="n">
        <x:f>MAX(K35-Z35,0)</x:f>
        <x:v>0</x:v>
      </x:c>
      <x:c r="M35" s="10" t="n">
        <x:f>IF(P35=0,0,MIN(Q35/P35,1))</x:f>
        <x:v>0.3307303714582951</x:v>
      </x:c>
      <x:c r="N35" s="10" t="n">
        <x:f>ROUND(MIN(R35,'参数'!$B$11)/'参数'!$B$11*'参数'!$B$2+S35/100*'参数'!$B$3+T35*'参数'!$B$4+U35*'参数'!$B$5+MIN(V35,'参数'!$B$12)/'参数'!$B$12*'参数'!$B$6+W35/100*'参数'!$B$7,'参数'!$B$13)</x:f>
        <x:v>0.705713</x:v>
      </x:c>
      <x:c r="O35" s="7"/>
      <x:c r="P35" s="7" t="n">
        <x:v>1797510</x:v>
      </x:c>
      <x:c r="Q35" s="7" t="n">
        <x:v>594491.15</x:v>
      </x:c>
      <x:c r="R35" s="11" t="n">
        <x:v>6</x:v>
      </x:c>
      <x:c r="S35" s="7" t="n">
        <x:v>69</x:v>
      </x:c>
      <x:c r="T35" s="10" t="n">
        <x:v>0.6666666666666666</x:v>
      </x:c>
      <x:c r="U35" s="10" t="n">
        <x:v>0.6340423280423281</x:v>
      </x:c>
      <x:c r="V35" s="11" t="n">
        <x:v>4</x:v>
      </x:c>
      <x:c r="W35" s="11" t="n">
        <x:v>85</x:v>
      </x:c>
      <x:c r="X35" s="11" t="n">
        <x:v>71</x:v>
      </x:c>
      <x:c r="Y35" s="7" t="str">
        <x:v>AI建议经人工确认</x:v>
      </x:c>
      <x:c r="Z35" s="7" t="n">
        <x:f>ROUND(H35*M35,2)</x:f>
        <x:v>52234.51</x:v>
      </x:c>
      <x:c r="AA35" s="7" t="n">
        <x:v>52234.51</x:v>
      </x:c>
      <x:c r="AB35" s="7" t="n">
        <x:v>105702.34</x:v>
      </x:c>
      <x:c r="AC35" s="10" t="n">
        <x:v>0.705713</x:v>
      </x:c>
      <x:c r="AD35" s="7" t="n">
        <x:f>ROUND(I35-AA35,2)</x:f>
        <x:v>0</x:v>
      </x:c>
      <x:c r="AE35" s="10" t="n">
        <x:f>ROUND(N35-AC35,6)</x:f>
        <x:v>0</x:v>
      </x:c>
    </x:row>
    <x:row r="36" ht="22" customHeight="1">
      <x:c r="A36" s="7" t="str">
        <x:v>QUARTER</x:v>
      </x:c>
      <x:c r="B36" s="7" t="str">
        <x:v>R1</x:v>
      </x:c>
      <x:c r="C36" s="7" t="str">
        <x:v>Q3</x:v>
      </x:c>
      <x:c r="D36" s="7" t="str">
        <x:v>D01</x:v>
      </x:c>
      <x:c r="E36" s="7" t="str">
        <x:v>G02</x:v>
      </x:c>
      <x:c r="F36" s="7" t="str">
        <x:v>E007</x:v>
      </x:c>
      <x:c r="G36" s="7" t="str">
        <x:v>样例员工07</x:v>
      </x:c>
      <x:c r="H36" s="7" t="n">
        <x:v>176987.85</x:v>
      </x:c>
      <x:c r="I36" s="7" t="n">
        <x:f>MAX(Z36-K36,0)</x:f>
        <x:v>62946.36</x:v>
      </x:c>
      <x:c r="J36" s="7" t="n">
        <x:f>H36-Z36</x:f>
        <x:v>114041.49</x:v>
      </x:c>
      <x:c r="K36" s="7" t="n">
        <x:v>0</x:v>
      </x:c>
      <x:c r="L36" s="7" t="n">
        <x:f>MAX(K36-Z36,0)</x:f>
        <x:v>0</x:v>
      </x:c>
      <x:c r="M36" s="10" t="n">
        <x:f>IF(P36=0,0,MIN(Q36/P36,1))</x:f>
        <x:v>0.3556535750718724</x:v>
      </x:c>
      <x:c r="N36" s="10" t="n">
        <x:f>ROUND(MIN(R36,'参数'!$B$11)/'参数'!$B$11*'参数'!$B$2+S36/100*'参数'!$B$3+T36*'参数'!$B$4+U36*'参数'!$B$5+MIN(V36,'参数'!$B$12)/'参数'!$B$12*'参数'!$B$6+W36/100*'参数'!$B$7,'参数'!$B$13)</x:f>
        <x:v>0.790839</x:v>
      </x:c>
      <x:c r="O36" s="7"/>
      <x:c r="P36" s="7" t="n">
        <x:v>2372260</x:v>
      </x:c>
      <x:c r="Q36" s="7" t="n">
        <x:v>843702.75</x:v>
      </x:c>
      <x:c r="R36" s="11" t="n">
        <x:v>3</x:v>
      </x:c>
      <x:c r="S36" s="7" t="n">
        <x:v>78</x:v>
      </x:c>
      <x:c r="T36" s="10" t="n">
        <x:v>0.575591985428051</x:v>
      </x:c>
      <x:c r="U36" s="10" t="n">
        <x:v>1</x:v>
      </x:c>
      <x:c r="V36" s="11" t="n">
        <x:v>5</x:v>
      </x:c>
      <x:c r="W36" s="11" t="n">
        <x:v>84</x:v>
      </x:c>
      <x:c r="X36" s="11"/>
      <x:c r="Y36" s="7" t="str">
        <x:v>负责人评分</x:v>
      </x:c>
      <x:c r="Z36" s="7" t="n">
        <x:f>ROUND(H36*M36,2)</x:f>
        <x:v>62946.36</x:v>
      </x:c>
      <x:c r="AA36" s="7" t="n">
        <x:v>62946.36</x:v>
      </x:c>
      <x:c r="AB36" s="7" t="n">
        <x:v>114041.49</x:v>
      </x:c>
      <x:c r="AC36" s="10" t="n">
        <x:v>0.790839</x:v>
      </x:c>
      <x:c r="AD36" s="7" t="n">
        <x:f>ROUND(I36-AA36,2)</x:f>
        <x:v>0</x:v>
      </x:c>
      <x:c r="AE36" s="10" t="n">
        <x:f>ROUND(N36-AC36,6)</x:f>
        <x:v>0</x:v>
      </x:c>
    </x:row>
    <x:row r="37" ht="22" customHeight="1">
      <x:c r="A37" s="7" t="str">
        <x:v>QUARTER</x:v>
      </x:c>
      <x:c r="B37" s="7" t="str">
        <x:v>R1</x:v>
      </x:c>
      <x:c r="C37" s="7" t="str">
        <x:v>Q3</x:v>
      </x:c>
      <x:c r="D37" s="7" t="str">
        <x:v>D01</x:v>
      </x:c>
      <x:c r="E37" s="7" t="str">
        <x:v>G02</x:v>
      </x:c>
      <x:c r="F37" s="7" t="str">
        <x:v>E008</x:v>
      </x:c>
      <x:c r="G37" s="7" t="str">
        <x:v>样例员工08</x:v>
      </x:c>
      <x:c r="H37" s="7" t="n">
        <x:v>159679.56</x:v>
      </x:c>
      <x:c r="I37" s="7" t="n">
        <x:f>MAX(Z37-K37,0)</x:f>
        <x:v>62394.35</x:v>
      </x:c>
      <x:c r="J37" s="7" t="n">
        <x:f>H37-Z37</x:f>
        <x:v>97285.20999999999</x:v>
      </x:c>
      <x:c r="K37" s="7" t="n">
        <x:v>0</x:v>
      </x:c>
      <x:c r="L37" s="7" t="n">
        <x:f>MAX(K37-Z37,0)</x:f>
        <x:v>0</x:v>
      </x:c>
      <x:c r="M37" s="10" t="n">
        <x:f>IF(P37=0,0,MIN(Q37/P37,1))</x:f>
        <x:v>0.3907472285006996</x:v>
      </x:c>
      <x:c r="N37" s="10" t="n">
        <x:f>ROUND(MIN(R37,'参数'!$B$11)/'参数'!$B$11*'参数'!$B$2+S37/100*'参数'!$B$3+T37*'参数'!$B$4+U37*'参数'!$B$5+MIN(V37,'参数'!$B$12)/'参数'!$B$12*'参数'!$B$6+W37/100*'参数'!$B$7,'参数'!$B$13)</x:f>
        <x:v>0.7135</x:v>
      </x:c>
      <x:c r="O37" s="7"/>
      <x:c r="P37" s="7" t="n">
        <x:v>2044020</x:v>
      </x:c>
      <x:c r="Q37" s="7" t="n">
        <x:v>798695.15</x:v>
      </x:c>
      <x:c r="R37" s="11" t="n">
        <x:v>0</x:v>
      </x:c>
      <x:c r="S37" s="7" t="n">
        <x:v>70</x:v>
      </x:c>
      <x:c r="T37" s="10" t="n">
        <x:v>0.6666666666666666</x:v>
      </x:c>
      <x:c r="U37" s="10" t="n">
        <x:v>1</x:v>
      </x:c>
      <x:c r="V37" s="11" t="n">
        <x:v>5</x:v>
      </x:c>
      <x:c r="W37" s="11" t="n">
        <x:v>74</x:v>
      </x:c>
      <x:c r="X37" s="11"/>
      <x:c r="Y37" s="7" t="str">
        <x:v>负责人评分</x:v>
      </x:c>
      <x:c r="Z37" s="7" t="n">
        <x:f>ROUND(H37*M37,2)</x:f>
        <x:v>62394.35</x:v>
      </x:c>
      <x:c r="AA37" s="7" t="n">
        <x:v>62394.35</x:v>
      </x:c>
      <x:c r="AB37" s="7" t="n">
        <x:v>97285.21</x:v>
      </x:c>
      <x:c r="AC37" s="10" t="n">
        <x:v>0.7135</x:v>
      </x:c>
      <x:c r="AD37" s="7" t="n">
        <x:f>ROUND(I37-AA37,2)</x:f>
        <x:v>0</x:v>
      </x:c>
      <x:c r="AE37" s="10" t="n">
        <x:f>ROUND(N37-AC37,6)</x:f>
        <x:v>0</x:v>
      </x:c>
    </x:row>
    <x:row r="38" ht="22" customHeight="1">
      <x:c r="A38" s="7" t="str">
        <x:v>QUARTER</x:v>
      </x:c>
      <x:c r="B38" s="7" t="str">
        <x:v>R1</x:v>
      </x:c>
      <x:c r="C38" s="7" t="str">
        <x:v>Q3</x:v>
      </x:c>
      <x:c r="D38" s="7" t="str">
        <x:v>D01</x:v>
      </x:c>
      <x:c r="E38" s="7" t="str">
        <x:v>G03</x:v>
      </x:c>
      <x:c r="F38" s="7" t="str">
        <x:v>E009</x:v>
      </x:c>
      <x:c r="G38" s="7" t="str">
        <x:v>样例员工09</x:v>
      </x:c>
      <x:c r="H38" s="7" t="n">
        <x:v>153795</x:v>
      </x:c>
      <x:c r="I38" s="7" t="n">
        <x:f>MAX(Z38-K38,0)</x:f>
        <x:v>58030.04</x:v>
      </x:c>
      <x:c r="J38" s="7" t="n">
        <x:f>H38-Z38</x:f>
        <x:v>95764.95999999999</x:v>
      </x:c>
      <x:c r="K38" s="7" t="n">
        <x:v>0</x:v>
      </x:c>
      <x:c r="L38" s="7" t="n">
        <x:f>MAX(K38-Z38,0)</x:f>
        <x:v>0</x:v>
      </x:c>
      <x:c r="M38" s="10" t="n">
        <x:f>IF(P38=0,0,MIN(Q38/P38,1))</x:f>
        <x:v>0.3773206885559452</x:v>
      </x:c>
      <x:c r="N38" s="10" t="n">
        <x:f>ROUND(MIN(R38,'参数'!$B$11)/'参数'!$B$11*'参数'!$B$2+S38/100*'参数'!$B$3+T38*'参数'!$B$4+U38*'参数'!$B$5+MIN(V38,'参数'!$B$12)/'参数'!$B$12*'参数'!$B$6+W38/100*'参数'!$B$7,'参数'!$B$13)</x:f>
        <x:v>0.741824</x:v>
      </x:c>
      <x:c r="O38" s="7"/>
      <x:c r="P38" s="7" t="n">
        <x:v>2070420</x:v>
      </x:c>
      <x:c r="Q38" s="7" t="n">
        <x:v>781212.3</x:v>
      </x:c>
      <x:c r="R38" s="11" t="n">
        <x:v>9</x:v>
      </x:c>
      <x:c r="S38" s="7" t="n">
        <x:v>67</x:v>
      </x:c>
      <x:c r="T38" s="10" t="n">
        <x:v>0.5760869565217391</x:v>
      </x:c>
      <x:c r="U38" s="10" t="n">
        <x:v>0.876368253968254</x:v>
      </x:c>
      <x:c r="V38" s="11" t="n">
        <x:v>5</x:v>
      </x:c>
      <x:c r="W38" s="11" t="n">
        <x:v>64</x:v>
      </x:c>
      <x:c r="X38" s="11"/>
      <x:c r="Y38" s="7" t="str">
        <x:v>负责人评分</x:v>
      </x:c>
      <x:c r="Z38" s="7" t="n">
        <x:f>ROUND(H38*M38,2)</x:f>
        <x:v>58030.04</x:v>
      </x:c>
      <x:c r="AA38" s="7" t="n">
        <x:v>58030.04</x:v>
      </x:c>
      <x:c r="AB38" s="7" t="n">
        <x:v>95764.96</x:v>
      </x:c>
      <x:c r="AC38" s="10" t="n">
        <x:v>0.741824</x:v>
      </x:c>
      <x:c r="AD38" s="7" t="n">
        <x:f>ROUND(I38-AA38,2)</x:f>
        <x:v>0</x:v>
      </x:c>
      <x:c r="AE38" s="10" t="n">
        <x:f>ROUND(N38-AC38,6)</x:f>
        <x:v>0</x:v>
      </x:c>
    </x:row>
    <x:row r="39" ht="22" customHeight="1">
      <x:c r="A39" s="7" t="str">
        <x:v>QUARTER</x:v>
      </x:c>
      <x:c r="B39" s="7" t="str">
        <x:v>R1</x:v>
      </x:c>
      <x:c r="C39" s="7" t="str">
        <x:v>Q3</x:v>
      </x:c>
      <x:c r="D39" s="7" t="str">
        <x:v>D01</x:v>
      </x:c>
      <x:c r="E39" s="7" t="str">
        <x:v>G03</x:v>
      </x:c>
      <x:c r="F39" s="7" t="str">
        <x:v>E010</x:v>
      </x:c>
      <x:c r="G39" s="7" t="str">
        <x:v>样例员工10</x:v>
      </x:c>
      <x:c r="H39" s="7" t="n">
        <x:v>153026.25</x:v>
      </x:c>
      <x:c r="I39" s="7" t="n">
        <x:f>MAX(Z39-K39,0)</x:f>
        <x:v>56358.91</x:v>
      </x:c>
      <x:c r="J39" s="7" t="n">
        <x:f>H39-Z39</x:f>
        <x:v>96667.34</x:v>
      </x:c>
      <x:c r="K39" s="7" t="n">
        <x:v>0</x:v>
      </x:c>
      <x:c r="L39" s="7" t="n">
        <x:f>MAX(K39-Z39,0)</x:f>
        <x:v>0</x:v>
      </x:c>
      <x:c r="M39" s="10" t="n">
        <x:f>IF(P39=0,0,MIN(Q39/P39,1))</x:f>
        <x:v>0.36829566926158264</x:v>
      </x:c>
      <x:c r="N39" s="10" t="n">
        <x:f>ROUND(MIN(R39,'参数'!$B$11)/'参数'!$B$11*'参数'!$B$2+S39/100*'参数'!$B$3+T39*'参数'!$B$4+U39*'参数'!$B$5+MIN(V39,'参数'!$B$12)/'参数'!$B$12*'参数'!$B$6+W39/100*'参数'!$B$7,'参数'!$B$13)</x:f>
        <x:v>0.738116</x:v>
      </x:c>
      <x:c r="O39" s="7"/>
      <x:c r="P39" s="7" t="n">
        <x:v>1455410</x:v>
      </x:c>
      <x:c r="Q39" s="7" t="n">
        <x:v>536021.2</x:v>
      </x:c>
      <x:c r="R39" s="11" t="n">
        <x:v>6</x:v>
      </x:c>
      <x:c r="S39" s="7" t="n">
        <x:v>79</x:v>
      </x:c>
      <x:c r="T39" s="10" t="n">
        <x:v>0.6666666666666666</x:v>
      </x:c>
      <x:c r="U39" s="10" t="n">
        <x:v>0.718720987654321</x:v>
      </x:c>
      <x:c r="V39" s="11" t="n">
        <x:v>5</x:v>
      </x:c>
      <x:c r="W39" s="11" t="n">
        <x:v>68</x:v>
      </x:c>
      <x:c r="X39" s="11"/>
      <x:c r="Y39" s="7" t="str">
        <x:v>负责人评分</x:v>
      </x:c>
      <x:c r="Z39" s="7" t="n">
        <x:f>ROUND(H39*M39,2)</x:f>
        <x:v>56358.91</x:v>
      </x:c>
      <x:c r="AA39" s="7" t="n">
        <x:v>56358.91</x:v>
      </x:c>
      <x:c r="AB39" s="7" t="n">
        <x:v>96667.34</x:v>
      </x:c>
      <x:c r="AC39" s="10" t="n">
        <x:v>0.738116</x:v>
      </x:c>
      <x:c r="AD39" s="7" t="n">
        <x:f>ROUND(I39-AA39,2)</x:f>
        <x:v>0</x:v>
      </x:c>
      <x:c r="AE39" s="10" t="n">
        <x:f>ROUND(N39-AC39,6)</x:f>
        <x:v>0</x:v>
      </x:c>
    </x:row>
    <x:row r="40" ht="22" customHeight="1">
      <x:c r="A40" s="7" t="str">
        <x:v>QUARTER</x:v>
      </x:c>
      <x:c r="B40" s="7" t="str">
        <x:v>R1</x:v>
      </x:c>
      <x:c r="C40" s="7" t="str">
        <x:v>Q3</x:v>
      </x:c>
      <x:c r="D40" s="7" t="str">
        <x:v>D01</x:v>
      </x:c>
      <x:c r="E40" s="7" t="str">
        <x:v>G03</x:v>
      </x:c>
      <x:c r="F40" s="7" t="str">
        <x:v>E011</x:v>
      </x:c>
      <x:c r="G40" s="7" t="str">
        <x:v>样例员工11</x:v>
      </x:c>
      <x:c r="H40" s="7" t="n">
        <x:v>160429.45</x:v>
      </x:c>
      <x:c r="I40" s="7" t="n">
        <x:f>MAX(Z40-K40,0)</x:f>
        <x:v>56473.33</x:v>
      </x:c>
      <x:c r="J40" s="7" t="n">
        <x:f>H40-Z40</x:f>
        <x:v>103956.12000000001</x:v>
      </x:c>
      <x:c r="K40" s="7" t="n">
        <x:v>0</x:v>
      </x:c>
      <x:c r="L40" s="7" t="n">
        <x:f>MAX(K40-Z40,0)</x:f>
        <x:v>0</x:v>
      </x:c>
      <x:c r="M40" s="10" t="n">
        <x:f>IF(P40=0,0,MIN(Q40/P40,1))</x:f>
        <x:v>0.3520134983127109</x:v>
      </x:c>
      <x:c r="N40" s="10" t="n">
        <x:f>ROUND(MIN(R40,'参数'!$B$11)/'参数'!$B$11*'参数'!$B$2+S40/100*'参数'!$B$3+T40*'参数'!$B$4+U40*'参数'!$B$5+MIN(V40,'参数'!$B$12)/'参数'!$B$12*'参数'!$B$6+W40/100*'参数'!$B$7,'参数'!$B$13)</x:f>
        <x:v>0.773825</x:v>
      </x:c>
      <x:c r="O40" s="7"/>
      <x:c r="P40" s="7" t="n">
        <x:v>1173480</x:v>
      </x:c>
      <x:c r="Q40" s="7" t="n">
        <x:v>413080.8</x:v>
      </x:c>
      <x:c r="R40" s="11" t="n">
        <x:v>3</x:v>
      </x:c>
      <x:c r="S40" s="7" t="n">
        <x:v>71</x:v>
      </x:c>
      <x:c r="T40" s="10" t="n">
        <x:v>0.8103448275862069</x:v>
      </x:c>
      <x:c r="U40" s="10" t="n">
        <x:v>0.8692444444444445</x:v>
      </x:c>
      <x:c r="V40" s="11" t="n">
        <x:v>4</x:v>
      </x:c>
      <x:c r="W40" s="11" t="n">
        <x:v>93</x:v>
      </x:c>
      <x:c r="X40" s="11"/>
      <x:c r="Y40" s="7" t="str">
        <x:v>负责人评分</x:v>
      </x:c>
      <x:c r="Z40" s="7" t="n">
        <x:f>ROUND(H40*M40,2)</x:f>
        <x:v>56473.33</x:v>
      </x:c>
      <x:c r="AA40" s="7" t="n">
        <x:v>56473.33</x:v>
      </x:c>
      <x:c r="AB40" s="7" t="n">
        <x:v>103956.12</x:v>
      </x:c>
      <x:c r="AC40" s="10" t="n">
        <x:v>0.773825</x:v>
      </x:c>
      <x:c r="AD40" s="7" t="n">
        <x:f>ROUND(I40-AA40,2)</x:f>
        <x:v>0</x:v>
      </x:c>
      <x:c r="AE40" s="10" t="n">
        <x:f>ROUND(N40-AC40,6)</x:f>
        <x:v>0</x:v>
      </x:c>
    </x:row>
    <x:row r="41" ht="22" customHeight="1">
      <x:c r="A41" s="7" t="str">
        <x:v>QUARTER</x:v>
      </x:c>
      <x:c r="B41" s="7" t="str">
        <x:v>R1</x:v>
      </x:c>
      <x:c r="C41" s="7" t="str">
        <x:v>Q3</x:v>
      </x:c>
      <x:c r="D41" s="7" t="str">
        <x:v>D01</x:v>
      </x:c>
      <x:c r="E41" s="7" t="str">
        <x:v>G03</x:v>
      </x:c>
      <x:c r="F41" s="7" t="str">
        <x:v>E012</x:v>
      </x:c>
      <x:c r="G41" s="7" t="str">
        <x:v>样例员工12</x:v>
      </x:c>
      <x:c r="H41" s="7" t="n">
        <x:v>139008.1</x:v>
      </x:c>
      <x:c r="I41" s="7" t="n">
        <x:f>MAX(Z41-K41,0)</x:f>
        <x:v>47668.83</x:v>
      </x:c>
      <x:c r="J41" s="7" t="n">
        <x:f>H41-Z41</x:f>
        <x:v>91339.27</x:v>
      </x:c>
      <x:c r="K41" s="7" t="n">
        <x:v>0</x:v>
      </x:c>
      <x:c r="L41" s="7" t="n">
        <x:f>MAX(K41-Z41,0)</x:f>
        <x:v>0</x:v>
      </x:c>
      <x:c r="M41" s="10" t="n">
        <x:f>IF(P41=0,0,MIN(Q41/P41,1))</x:f>
        <x:v>0.3429212401309455</x:v>
      </x:c>
      <x:c r="N41" s="10" t="n">
        <x:f>ROUND(MIN(R41,'参数'!$B$11)/'参数'!$B$11*'参数'!$B$2+S41/100*'参数'!$B$3+T41*'参数'!$B$4+U41*'参数'!$B$5+MIN(V41,'参数'!$B$12)/'参数'!$B$12*'参数'!$B$6+W41/100*'参数'!$B$7,'参数'!$B$13)</x:f>
        <x:v>0.6705</x:v>
      </x:c>
      <x:c r="O41" s="7"/>
      <x:c r="P41" s="7" t="n">
        <x:v>1713690</x:v>
      </x:c>
      <x:c r="Q41" s="7" t="n">
        <x:v>587660.7</x:v>
      </x:c>
      <x:c r="R41" s="11" t="n">
        <x:v>0</x:v>
      </x:c>
      <x:c r="S41" s="7" t="n">
        <x:v>60</x:v>
      </x:c>
      <x:c r="T41" s="10" t="n">
        <x:v>0.6666666666666666</x:v>
      </x:c>
      <x:c r="U41" s="10" t="n">
        <x:v>1</x:v>
      </x:c>
      <x:c r="V41" s="11" t="n">
        <x:v>4</x:v>
      </x:c>
      <x:c r="W41" s="11" t="n">
        <x:v>67</x:v>
      </x:c>
      <x:c r="X41" s="11"/>
      <x:c r="Y41" s="7" t="str">
        <x:v>负责人评分</x:v>
      </x:c>
      <x:c r="Z41" s="7" t="n">
        <x:f>ROUND(H41*M41,2)</x:f>
        <x:v>47668.83</x:v>
      </x:c>
      <x:c r="AA41" s="7" t="n">
        <x:v>47668.83</x:v>
      </x:c>
      <x:c r="AB41" s="7" t="n">
        <x:v>91339.27</x:v>
      </x:c>
      <x:c r="AC41" s="10" t="n">
        <x:v>0.6705</x:v>
      </x:c>
      <x:c r="AD41" s="7" t="n">
        <x:f>ROUND(I41-AA41,2)</x:f>
        <x:v>0</x:v>
      </x:c>
      <x:c r="AE41" s="10" t="n">
        <x:f>ROUND(N41-AC41,6)</x:f>
        <x:v>0</x:v>
      </x:c>
    </x:row>
    <x:row r="42" ht="22" customHeight="1">
      <x:c r="A42" s="7" t="str">
        <x:v>QUARTER</x:v>
      </x:c>
      <x:c r="B42" s="7" t="str">
        <x:v>R1</x:v>
      </x:c>
      <x:c r="C42" s="7" t="str">
        <x:v>Q3</x:v>
      </x:c>
      <x:c r="D42" s="7" t="str">
        <x:v>D02</x:v>
      </x:c>
      <x:c r="E42" s="7" t="str">
        <x:v>G04</x:v>
      </x:c>
      <x:c r="F42" s="7" t="str">
        <x:v>E013</x:v>
      </x:c>
      <x:c r="G42" s="7" t="str">
        <x:v>样例员工13</x:v>
      </x:c>
      <x:c r="H42" s="7" t="n">
        <x:v>147095.47</x:v>
      </x:c>
      <x:c r="I42" s="7" t="n">
        <x:f>MAX(Z42-K42,0)</x:f>
        <x:v>57734.51</x:v>
      </x:c>
      <x:c r="J42" s="7" t="n">
        <x:f>H42-Z42</x:f>
        <x:v>89360.95999999999</x:v>
      </x:c>
      <x:c r="K42" s="7" t="n">
        <x:v>0</x:v>
      </x:c>
      <x:c r="L42" s="7" t="n">
        <x:f>MAX(K42-Z42,0)</x:f>
        <x:v>0</x:v>
      </x:c>
      <x:c r="M42" s="10" t="n">
        <x:f>IF(P42=0,0,MIN(Q42/P42,1))</x:f>
        <x:v>0.3924968890962825</x:v>
      </x:c>
      <x:c r="N42" s="10" t="n">
        <x:f>ROUND(MIN(R42,'参数'!$B$11)/'参数'!$B$11*'参数'!$B$2+S42/100*'参数'!$B$3+T42*'参数'!$B$4+U42*'参数'!$B$5+MIN(V42,'参数'!$B$12)/'参数'!$B$12*'参数'!$B$6+W42/100*'参数'!$B$7,'参数'!$B$13)</x:f>
        <x:v>0.690214</x:v>
      </x:c>
      <x:c r="O42" s="7"/>
      <x:c r="P42" s="7" t="n">
        <x:v>1414380</x:v>
      </x:c>
      <x:c r="Q42" s="7" t="n">
        <x:v>555139.75</x:v>
      </x:c>
      <x:c r="R42" s="11" t="n">
        <x:v>9</x:v>
      </x:c>
      <x:c r="S42" s="7" t="n">
        <x:v>96</x:v>
      </x:c>
      <x:c r="T42" s="10" t="n">
        <x:v>0.807909604519774</x:v>
      </x:c>
      <x:c r="U42" s="10" t="n">
        <x:v>0.33675714285714287</x:v>
      </x:c>
      <x:c r="V42" s="11" t="n">
        <x:v>4</x:v>
      </x:c>
      <x:c r="W42" s="11" t="n">
        <x:v>84</x:v>
      </x:c>
      <x:c r="X42" s="11"/>
      <x:c r="Y42" s="7" t="str">
        <x:v>负责人评分</x:v>
      </x:c>
      <x:c r="Z42" s="7" t="n">
        <x:f>ROUND(H42*M42,2)</x:f>
        <x:v>57734.51</x:v>
      </x:c>
      <x:c r="AA42" s="7" t="n">
        <x:v>57734.51</x:v>
      </x:c>
      <x:c r="AB42" s="7" t="n">
        <x:v>89360.96</x:v>
      </x:c>
      <x:c r="AC42" s="10" t="n">
        <x:v>0.690214</x:v>
      </x:c>
      <x:c r="AD42" s="7" t="n">
        <x:f>ROUND(I42-AA42,2)</x:f>
        <x:v>0</x:v>
      </x:c>
      <x:c r="AE42" s="10" t="n">
        <x:f>ROUND(N42-AC42,6)</x:f>
        <x:v>0</x:v>
      </x:c>
    </x:row>
    <x:row r="43" ht="22" customHeight="1">
      <x:c r="A43" s="7" t="str">
        <x:v>QUARTER</x:v>
      </x:c>
      <x:c r="B43" s="7" t="str">
        <x:v>R1</x:v>
      </x:c>
      <x:c r="C43" s="7" t="str">
        <x:v>Q3</x:v>
      </x:c>
      <x:c r="D43" s="7" t="str">
        <x:v>D02</x:v>
      </x:c>
      <x:c r="E43" s="7" t="str">
        <x:v>G04</x:v>
      </x:c>
      <x:c r="F43" s="7" t="str">
        <x:v>E014</x:v>
      </x:c>
      <x:c r="G43" s="7" t="str">
        <x:v>样例员工14</x:v>
      </x:c>
      <x:c r="H43" s="7" t="n">
        <x:v>139092.77</x:v>
      </x:c>
      <x:c r="I43" s="7" t="n">
        <x:f>MAX(Z43-K43,0)</x:f>
        <x:v>48765.48</x:v>
      </x:c>
      <x:c r="J43" s="7" t="n">
        <x:f>H43-Z43</x:f>
        <x:v>90327.28999999998</x:v>
      </x:c>
      <x:c r="K43" s="7" t="n">
        <x:v>0</x:v>
      </x:c>
      <x:c r="L43" s="7" t="n">
        <x:f>MAX(K43-Z43,0)</x:f>
        <x:v>0</x:v>
      </x:c>
      <x:c r="M43" s="10" t="n">
        <x:f>IF(P43=0,0,MIN(Q43/P43,1))</x:f>
        <x:v>0.35059681247880636</x:v>
      </x:c>
      <x:c r="N43" s="10" t="n">
        <x:f>ROUND(MIN(R43,'参数'!$B$11)/'参数'!$B$11*'参数'!$B$2+S43/100*'参数'!$B$3+T43*'参数'!$B$4+U43*'参数'!$B$5+MIN(V43,'参数'!$B$12)/'参数'!$B$12*'参数'!$B$6+W43/100*'参数'!$B$7,'参数'!$B$13)</x:f>
        <x:v>0.652663</x:v>
      </x:c>
      <x:c r="O43" s="7"/>
      <x:c r="P43" s="7" t="n">
        <x:v>1621950</x:v>
      </x:c>
      <x:c r="Q43" s="7" t="n">
        <x:v>568650.5</x:v>
      </x:c>
      <x:c r="R43" s="11" t="n">
        <x:v>6</x:v>
      </x:c>
      <x:c r="S43" s="7" t="n">
        <x:v>82</x:v>
      </x:c>
      <x:c r="T43" s="10" t="n">
        <x:v>0.6666666666666666</x:v>
      </x:c>
      <x:c r="U43" s="10" t="n">
        <x:v>0.4505416666666667</x:v>
      </x:c>
      <x:c r="V43" s="11" t="n">
        <x:v>4</x:v>
      </x:c>
      <x:c r="W43" s="11" t="n">
        <x:v>69</x:v>
      </x:c>
      <x:c r="X43" s="11"/>
      <x:c r="Y43" s="7" t="str">
        <x:v>负责人评分</x:v>
      </x:c>
      <x:c r="Z43" s="7" t="n">
        <x:f>ROUND(H43*M43,2)</x:f>
        <x:v>48765.48</x:v>
      </x:c>
      <x:c r="AA43" s="7" t="n">
        <x:v>48765.48</x:v>
      </x:c>
      <x:c r="AB43" s="7" t="n">
        <x:v>90327.29</x:v>
      </x:c>
      <x:c r="AC43" s="10" t="n">
        <x:v>0.652663</x:v>
      </x:c>
      <x:c r="AD43" s="7" t="n">
        <x:f>ROUND(I43-AA43,2)</x:f>
        <x:v>0</x:v>
      </x:c>
      <x:c r="AE43" s="10" t="n">
        <x:f>ROUND(N43-AC43,6)</x:f>
        <x:v>0</x:v>
      </x:c>
    </x:row>
    <x:row r="44" ht="22" customHeight="1">
      <x:c r="A44" s="7" t="str">
        <x:v>QUARTER</x:v>
      </x:c>
      <x:c r="B44" s="7" t="str">
        <x:v>R1</x:v>
      </x:c>
      <x:c r="C44" s="7" t="str">
        <x:v>Q3</x:v>
      </x:c>
      <x:c r="D44" s="7" t="str">
        <x:v>D02</x:v>
      </x:c>
      <x:c r="E44" s="7" t="str">
        <x:v>G04</x:v>
      </x:c>
      <x:c r="F44" s="7" t="str">
        <x:v>E015</x:v>
      </x:c>
      <x:c r="G44" s="7" t="str">
        <x:v>样例员工15</x:v>
      </x:c>
      <x:c r="H44" s="7" t="n">
        <x:v>169968.34</x:v>
      </x:c>
      <x:c r="I44" s="7" t="n">
        <x:f>MAX(Z44-K44,0)</x:f>
        <x:v>63132.06</x:v>
      </x:c>
      <x:c r="J44" s="7" t="n">
        <x:f>H44-Z44</x:f>
        <x:v>106836.28</x:v>
      </x:c>
      <x:c r="K44" s="7" t="n">
        <x:v>0</x:v>
      </x:c>
      <x:c r="L44" s="7" t="n">
        <x:f>MAX(K44-Z44,0)</x:f>
        <x:v>0</x:v>
      </x:c>
      <x:c r="M44" s="10" t="n">
        <x:f>IF(P44=0,0,MIN(Q44/P44,1))</x:f>
        <x:v>0.37143422377823604</x:v>
      </x:c>
      <x:c r="N44" s="10" t="n">
        <x:f>ROUND(MIN(R44,'参数'!$B$11)/'参数'!$B$11*'参数'!$B$2+S44/100*'参数'!$B$3+T44*'参数'!$B$4+U44*'参数'!$B$5+MIN(V44,'参数'!$B$12)/'参数'!$B$12*'参数'!$B$6+W44/100*'参数'!$B$7,'参数'!$B$13)</x:f>
        <x:v>0.79754</x:v>
      </x:c>
      <x:c r="O44" s="7"/>
      <x:c r="P44" s="7" t="n">
        <x:v>2293610</x:v>
      </x:c>
      <x:c r="Q44" s="7" t="n">
        <x:v>851925.25</x:v>
      </x:c>
      <x:c r="R44" s="11" t="n">
        <x:v>3</x:v>
      </x:c>
      <x:c r="S44" s="7" t="n">
        <x:v>85</x:v>
      </x:c>
      <x:c r="T44" s="10" t="n">
        <x:v>0.575591985428051</x:v>
      </x:c>
      <x:c r="U44" s="10" t="n">
        <x:v>0.9556708333333334</x:v>
      </x:c>
      <x:c r="V44" s="11" t="n">
        <x:v>5</x:v>
      </x:c>
      <x:c r="W44" s="11" t="n">
        <x:v>88</x:v>
      </x:c>
      <x:c r="X44" s="11"/>
      <x:c r="Y44" s="7" t="str">
        <x:v>负责人评分</x:v>
      </x:c>
      <x:c r="Z44" s="7" t="n">
        <x:f>ROUND(H44*M44,2)</x:f>
        <x:v>63132.06</x:v>
      </x:c>
      <x:c r="AA44" s="7" t="n">
        <x:v>63132.06</x:v>
      </x:c>
      <x:c r="AB44" s="7" t="n">
        <x:v>106836.28</x:v>
      </x:c>
      <x:c r="AC44" s="10" t="n">
        <x:v>0.79754</x:v>
      </x:c>
      <x:c r="AD44" s="7" t="n">
        <x:f>ROUND(I44-AA44,2)</x:f>
        <x:v>0</x:v>
      </x:c>
      <x:c r="AE44" s="10" t="n">
        <x:f>ROUND(N44-AC44,6)</x:f>
        <x:v>0</x:v>
      </x:c>
    </x:row>
    <x:row r="45" ht="22" customHeight="1">
      <x:c r="A45" s="7" t="str">
        <x:v>QUARTER</x:v>
      </x:c>
      <x:c r="B45" s="7" t="str">
        <x:v>R1</x:v>
      </x:c>
      <x:c r="C45" s="7" t="str">
        <x:v>Q3</x:v>
      </x:c>
      <x:c r="D45" s="7" t="str">
        <x:v>D02</x:v>
      </x:c>
      <x:c r="E45" s="7" t="str">
        <x:v>G04</x:v>
      </x:c>
      <x:c r="F45" s="7" t="str">
        <x:v>E016</x:v>
      </x:c>
      <x:c r="G45" s="7" t="str">
        <x:v>样例员工16</x:v>
      </x:c>
      <x:c r="H45" s="7" t="n">
        <x:v>146517.08</x:v>
      </x:c>
      <x:c r="I45" s="7" t="n">
        <x:f>MAX(Z45-K45,0)</x:f>
        <x:v>57906.66</x:v>
      </x:c>
      <x:c r="J45" s="7" t="n">
        <x:f>H45-Z45</x:f>
        <x:v>88610.41999999998</x:v>
      </x:c>
      <x:c r="K45" s="7" t="n">
        <x:v>0</x:v>
      </x:c>
      <x:c r="L45" s="7" t="n">
        <x:f>MAX(K45-Z45,0)</x:f>
        <x:v>0</x:v>
      </x:c>
      <x:c r="M45" s="10" t="n">
        <x:f>IF(P45=0,0,MIN(Q45/P45,1))</x:f>
        <x:v>0.3952212343636928</x:v>
      </x:c>
      <x:c r="N45" s="10" t="n">
        <x:f>ROUND(MIN(R45,'参数'!$B$11)/'参数'!$B$11*'参数'!$B$2+S45/100*'参数'!$B$3+T45*'参数'!$B$4+U45*'参数'!$B$5+MIN(V45,'参数'!$B$12)/'参数'!$B$12*'参数'!$B$6+W45/100*'参数'!$B$7,'参数'!$B$13)</x:f>
        <x:v>0.6875</x:v>
      </x:c>
      <x:c r="O45" s="7"/>
      <x:c r="P45" s="7" t="n">
        <x:v>2128060</x:v>
      </x:c>
      <x:c r="Q45" s="7" t="n">
        <x:v>841054.5</x:v>
      </x:c>
      <x:c r="R45" s="11" t="n">
        <x:v>0</x:v>
      </x:c>
      <x:c r="S45" s="7" t="n">
        <x:v>63</x:v>
      </x:c>
      <x:c r="T45" s="10" t="n">
        <x:v>0.6666666666666666</x:v>
      </x:c>
      <x:c r="U45" s="10" t="n">
        <x:v>1</x:v>
      </x:c>
      <x:c r="V45" s="11" t="n">
        <x:v>5</x:v>
      </x:c>
      <x:c r="W45" s="11" t="n">
        <x:v>66</x:v>
      </x:c>
      <x:c r="X45" s="11"/>
      <x:c r="Y45" s="7" t="str">
        <x:v>负责人评分</x:v>
      </x:c>
      <x:c r="Z45" s="7" t="n">
        <x:f>ROUND(H45*M45,2)</x:f>
        <x:v>57906.66</x:v>
      </x:c>
      <x:c r="AA45" s="7" t="n">
        <x:v>57906.66</x:v>
      </x:c>
      <x:c r="AB45" s="7" t="n">
        <x:v>88610.42</x:v>
      </x:c>
      <x:c r="AC45" s="10" t="n">
        <x:v>0.6875</x:v>
      </x:c>
      <x:c r="AD45" s="7" t="n">
        <x:f>ROUND(I45-AA45,2)</x:f>
        <x:v>0</x:v>
      </x:c>
      <x:c r="AE45" s="10" t="n">
        <x:f>ROUND(N45-AC45,6)</x:f>
        <x:v>0</x:v>
      </x:c>
    </x:row>
    <x:row r="46" ht="22" customHeight="1">
      <x:c r="A46" s="7" t="str">
        <x:v>QUARTER</x:v>
      </x:c>
      <x:c r="B46" s="7" t="str">
        <x:v>R1</x:v>
      </x:c>
      <x:c r="C46" s="7" t="str">
        <x:v>Q3</x:v>
      </x:c>
      <x:c r="D46" s="7" t="str">
        <x:v>D02</x:v>
      </x:c>
      <x:c r="E46" s="7" t="str">
        <x:v>G05</x:v>
      </x:c>
      <x:c r="F46" s="7" t="str">
        <x:v>E017</x:v>
      </x:c>
      <x:c r="G46" s="7" t="str">
        <x:v>样例员工17</x:v>
      </x:c>
      <x:c r="H46" s="7" t="n">
        <x:v>114468.78</x:v>
      </x:c>
      <x:c r="I46" s="7" t="n">
        <x:f>MAX(Z46-K46,0)</x:f>
        <x:v>44228.57</x:v>
      </x:c>
      <x:c r="J46" s="7" t="n">
        <x:f>H46-Z46</x:f>
        <x:v>70240.20999999999</x:v>
      </x:c>
      <x:c r="K46" s="7" t="n">
        <x:v>0</x:v>
      </x:c>
      <x:c r="L46" s="7" t="n">
        <x:f>MAX(K46-Z46,0)</x:f>
        <x:v>0</x:v>
      </x:c>
      <x:c r="M46" s="10" t="n">
        <x:f>IF(P46=0,0,MIN(Q46/P46,1))</x:f>
        <x:v>0.3863811161481944</x:v>
      </x:c>
      <x:c r="N46" s="10" t="n">
        <x:f>ROUND(MIN(R46,'参数'!$B$11)/'参数'!$B$11*'参数'!$B$2+S46/100*'参数'!$B$3+T46*'参数'!$B$4+U46*'参数'!$B$5+MIN(V46,'参数'!$B$12)/'参数'!$B$12*'参数'!$B$6+W46/100*'参数'!$B$7,'参数'!$B$13)</x:f>
        <x:v>0.641298</x:v>
      </x:c>
      <x:c r="O46" s="7"/>
      <x:c r="P46" s="7" t="n">
        <x:v>1407340</x:v>
      </x:c>
      <x:c r="Q46" s="7" t="n">
        <x:v>543769.6</x:v>
      </x:c>
      <x:c r="R46" s="11" t="n">
        <x:v>9</x:v>
      </x:c>
      <x:c r="S46" s="7" t="n">
        <x:v>84</x:v>
      </x:c>
      <x:c r="T46" s="10" t="n">
        <x:v>0.5760869565217391</x:v>
      </x:c>
      <x:c r="U46" s="10" t="n">
        <x:v>0.3829496598639456</x:v>
      </x:c>
      <x:c r="V46" s="11" t="n">
        <x:v>5</x:v>
      </x:c>
      <x:c r="W46" s="11" t="n">
        <x:v>73</x:v>
      </x:c>
      <x:c r="X46" s="11"/>
      <x:c r="Y46" s="7" t="str">
        <x:v>负责人评分</x:v>
      </x:c>
      <x:c r="Z46" s="7" t="n">
        <x:f>ROUND(H46*M46,2)</x:f>
        <x:v>44228.57</x:v>
      </x:c>
      <x:c r="AA46" s="7" t="n">
        <x:v>44228.57</x:v>
      </x:c>
      <x:c r="AB46" s="7" t="n">
        <x:v>70240.21</x:v>
      </x:c>
      <x:c r="AC46" s="10" t="n">
        <x:v>0.641298</x:v>
      </x:c>
      <x:c r="AD46" s="7" t="n">
        <x:f>ROUND(I46-AA46,2)</x:f>
        <x:v>0</x:v>
      </x:c>
      <x:c r="AE46" s="10" t="n">
        <x:f>ROUND(N46-AC46,6)</x:f>
        <x:v>0</x:v>
      </x:c>
    </x:row>
    <x:row r="47" ht="22" customHeight="1">
      <x:c r="A47" s="7" t="str">
        <x:v>QUARTER</x:v>
      </x:c>
      <x:c r="B47" s="7" t="str">
        <x:v>R1</x:v>
      </x:c>
      <x:c r="C47" s="7" t="str">
        <x:v>Q3</x:v>
      </x:c>
      <x:c r="D47" s="7" t="str">
        <x:v>D02</x:v>
      </x:c>
      <x:c r="E47" s="7" t="str">
        <x:v>G05</x:v>
      </x:c>
      <x:c r="F47" s="7" t="str">
        <x:v>E018</x:v>
      </x:c>
      <x:c r="G47" s="7" t="str">
        <x:v>样例员工18</x:v>
      </x:c>
      <x:c r="H47" s="7" t="n">
        <x:v>118685.55</x:v>
      </x:c>
      <x:c r="I47" s="7" t="n">
        <x:f>MAX(Z47-K47,0)</x:f>
        <x:v>44974.27</x:v>
      </x:c>
      <x:c r="J47" s="7" t="n">
        <x:f>H47-Z47</x:f>
        <x:v>73711.28</x:v>
      </x:c>
      <x:c r="K47" s="7" t="n">
        <x:v>0</x:v>
      </x:c>
      <x:c r="L47" s="7" t="n">
        <x:f>MAX(K47-Z47,0)</x:f>
        <x:v>0</x:v>
      </x:c>
      <x:c r="M47" s="10" t="n">
        <x:f>IF(P47=0,0,MIN(Q47/P47,1))</x:f>
        <x:v>0.37893638081526143</x:v>
      </x:c>
      <x:c r="N47" s="10" t="n">
        <x:f>ROUND(MIN(R47,'参数'!$B$11)/'参数'!$B$11*'参数'!$B$2+S47/100*'参数'!$B$3+T47*'参数'!$B$4+U47*'参数'!$B$5+MIN(V47,'参数'!$B$12)/'参数'!$B$12*'参数'!$B$6+W47/100*'参数'!$B$7,'参数'!$B$13)</x:f>
        <x:v>0.664922</x:v>
      </x:c>
      <x:c r="O47" s="7"/>
      <x:c r="P47" s="7" t="n">
        <x:v>1222430</x:v>
      </x:c>
      <x:c r="Q47" s="7" t="n">
        <x:v>463223.2</x:v>
      </x:c>
      <x:c r="R47" s="11" t="n">
        <x:v>6</x:v>
      </x:c>
      <x:c r="S47" s="7" t="n">
        <x:v>77</x:v>
      </x:c>
      <x:c r="T47" s="10" t="n">
        <x:v>0.6666666666666666</x:v>
      </x:c>
      <x:c r="U47" s="10" t="n">
        <x:v>0.38807301587301585</x:v>
      </x:c>
      <x:c r="V47" s="11" t="n">
        <x:v>5</x:v>
      </x:c>
      <x:c r="W47" s="11" t="n">
        <x:v>88</x:v>
      </x:c>
      <x:c r="X47" s="11"/>
      <x:c r="Y47" s="7" t="str">
        <x:v>负责人评分</x:v>
      </x:c>
      <x:c r="Z47" s="7" t="n">
        <x:f>ROUND(H47*M47,2)</x:f>
        <x:v>44974.27</x:v>
      </x:c>
      <x:c r="AA47" s="7" t="n">
        <x:v>44974.27</x:v>
      </x:c>
      <x:c r="AB47" s="7" t="n">
        <x:v>73711.28</x:v>
      </x:c>
      <x:c r="AC47" s="10" t="n">
        <x:v>0.664922</x:v>
      </x:c>
      <x:c r="AD47" s="7" t="n">
        <x:f>ROUND(I47-AA47,2)</x:f>
        <x:v>0</x:v>
      </x:c>
      <x:c r="AE47" s="10" t="n">
        <x:f>ROUND(N47-AC47,6)</x:f>
        <x:v>0</x:v>
      </x:c>
    </x:row>
    <x:row r="48" ht="22" customHeight="1">
      <x:c r="A48" s="7" t="str">
        <x:v>QUARTER</x:v>
      </x:c>
      <x:c r="B48" s="7" t="str">
        <x:v>R1</x:v>
      </x:c>
      <x:c r="C48" s="7" t="str">
        <x:v>Q3</x:v>
      </x:c>
      <x:c r="D48" s="7" t="str">
        <x:v>D02</x:v>
      </x:c>
      <x:c r="E48" s="7" t="str">
        <x:v>G05</x:v>
      </x:c>
      <x:c r="F48" s="7" t="str">
        <x:v>E019</x:v>
      </x:c>
      <x:c r="G48" s="7" t="str">
        <x:v>样例员工19</x:v>
      </x:c>
      <x:c r="H48" s="7" t="n">
        <x:v>119678.52</x:v>
      </x:c>
      <x:c r="I48" s="7" t="n">
        <x:f>MAX(Z48-K48,0)</x:f>
        <x:v>42375.04</x:v>
      </x:c>
      <x:c r="J48" s="7" t="n">
        <x:f>H48-Z48</x:f>
        <x:v>77303.48000000001</x:v>
      </x:c>
      <x:c r="K48" s="7" t="n">
        <x:v>0</x:v>
      </x:c>
      <x:c r="L48" s="7" t="n">
        <x:f>MAX(K48-Z48,0)</x:f>
        <x:v>0</x:v>
      </x:c>
      <x:c r="M48" s="10" t="n">
        <x:f>IF(P48=0,0,MIN(Q48/P48,1))</x:f>
        <x:v>0.3540738846989646</x:v>
      </x:c>
      <x:c r="N48" s="10" t="n">
        <x:f>ROUND(MIN(R48,'参数'!$B$11)/'参数'!$B$11*'参数'!$B$2+S48/100*'参数'!$B$3+T48*'参数'!$B$4+U48*'参数'!$B$5+MIN(V48,'参数'!$B$12)/'参数'!$B$12*'参数'!$B$6+W48/100*'参数'!$B$7,'参数'!$B$13)</x:f>
        <x:v>0.670485</x:v>
      </x:c>
      <x:c r="O48" s="7"/>
      <x:c r="P48" s="7" t="n">
        <x:v>860530</x:v>
      </x:c>
      <x:c r="Q48" s="7" t="n">
        <x:v>304691.2</x:v>
      </x:c>
      <x:c r="R48" s="11" t="n">
        <x:v>3</x:v>
      </x:c>
      <x:c r="S48" s="7" t="n">
        <x:v>95</x:v>
      </x:c>
      <x:c r="T48" s="10" t="n">
        <x:v>0.8103448275862069</x:v>
      </x:c>
      <x:c r="U48" s="10" t="n">
        <x:v>0.40977619047619046</x:v>
      </x:c>
      <x:c r="V48" s="11" t="n">
        <x:v>4</x:v>
      </x:c>
      <x:c r="W48" s="11" t="n">
        <x:v>84</x:v>
      </x:c>
      <x:c r="X48" s="11"/>
      <x:c r="Y48" s="7" t="str">
        <x:v>负责人评分</x:v>
      </x:c>
      <x:c r="Z48" s="7" t="n">
        <x:f>ROUND(H48*M48,2)</x:f>
        <x:v>42375.04</x:v>
      </x:c>
      <x:c r="AA48" s="7" t="n">
        <x:v>42375.04</x:v>
      </x:c>
      <x:c r="AB48" s="7" t="n">
        <x:v>77303.48</x:v>
      </x:c>
      <x:c r="AC48" s="10" t="n">
        <x:v>0.670485</x:v>
      </x:c>
      <x:c r="AD48" s="7" t="n">
        <x:f>ROUND(I48-AA48,2)</x:f>
        <x:v>0</x:v>
      </x:c>
      <x:c r="AE48" s="10" t="n">
        <x:f>ROUND(N48-AC48,6)</x:f>
        <x:v>0</x:v>
      </x:c>
    </x:row>
    <x:row r="49" ht="22" customHeight="1">
      <x:c r="A49" s="7" t="str">
        <x:v>QUARTER</x:v>
      </x:c>
      <x:c r="B49" s="7" t="str">
        <x:v>R1</x:v>
      </x:c>
      <x:c r="C49" s="7" t="str">
        <x:v>Q3</x:v>
      </x:c>
      <x:c r="D49" s="7" t="str">
        <x:v>D02</x:v>
      </x:c>
      <x:c r="E49" s="7" t="str">
        <x:v>G05</x:v>
      </x:c>
      <x:c r="F49" s="7" t="str">
        <x:v>E020</x:v>
      </x:c>
      <x:c r="G49" s="7" t="str">
        <x:v>样例员工20</x:v>
      </x:c>
      <x:c r="H49" s="7" t="n">
        <x:v>110027.99</x:v>
      </x:c>
      <x:c r="I49" s="7" t="n">
        <x:f>MAX(Z49-K49,0)</x:f>
        <x:v>37988.12</x:v>
      </x:c>
      <x:c r="J49" s="7" t="n">
        <x:f>H49-Z49</x:f>
        <x:v>72039.87</x:v>
      </x:c>
      <x:c r="K49" s="7" t="n">
        <x:v>0</x:v>
      </x:c>
      <x:c r="L49" s="7" t="n">
        <x:f>MAX(K49-Z49,0)</x:f>
        <x:v>0</x:v>
      </x:c>
      <x:c r="M49" s="10" t="n">
        <x:f>IF(P49=0,0,MIN(Q49/P49,1))</x:f>
        <x:v>0.3452587117212249</x:v>
      </x:c>
      <x:c r="N49" s="10" t="n">
        <x:f>ROUND(MIN(R49,'参数'!$B$11)/'参数'!$B$11*'参数'!$B$2+S49/100*'参数'!$B$3+T49*'参数'!$B$4+U49*'参数'!$B$5+MIN(V49,'参数'!$B$12)/'参数'!$B$12*'参数'!$B$6+W49/100*'参数'!$B$7,'参数'!$B$13)</x:f>
        <x:v>0.616419</x:v>
      </x:c>
      <x:c r="O49" s="7"/>
      <x:c r="P49" s="7" t="n">
        <x:v>1041700</x:v>
      </x:c>
      <x:c r="Q49" s="7" t="n">
        <x:v>359656</x:v>
      </x:c>
      <x:c r="R49" s="11" t="n">
        <x:v>0</x:v>
      </x:c>
      <x:c r="S49" s="7" t="n">
        <x:v>74</x:v>
      </x:c>
      <x:c r="T49" s="10" t="n">
        <x:v>0.6666666666666666</x:v>
      </x:c>
      <x:c r="U49" s="10" t="n">
        <x:v>0.6613968253968254</x:v>
      </x:c>
      <x:c r="V49" s="11" t="n">
        <x:v>4</x:v>
      </x:c>
      <x:c r="W49" s="11" t="n">
        <x:v>80</x:v>
      </x:c>
      <x:c r="X49" s="11"/>
      <x:c r="Y49" s="7" t="str">
        <x:v>负责人评分</x:v>
      </x:c>
      <x:c r="Z49" s="7" t="n">
        <x:f>ROUND(H49*M49,2)</x:f>
        <x:v>37988.12</x:v>
      </x:c>
      <x:c r="AA49" s="7" t="n">
        <x:v>37988.12</x:v>
      </x:c>
      <x:c r="AB49" s="7" t="n">
        <x:v>72039.87</x:v>
      </x:c>
      <x:c r="AC49" s="10" t="n">
        <x:v>0.616419</x:v>
      </x:c>
      <x:c r="AD49" s="7" t="n">
        <x:f>ROUND(I49-AA49,2)</x:f>
        <x:v>0</x:v>
      </x:c>
      <x:c r="AE49" s="10" t="n">
        <x:f>ROUND(N49-AC49,6)</x:f>
        <x:v>0</x:v>
      </x:c>
    </x:row>
    <x:row r="50" ht="22" customHeight="1">
      <x:c r="A50" s="7" t="str">
        <x:v>QUARTER</x:v>
      </x:c>
      <x:c r="B50" s="7" t="str">
        <x:v>R1</x:v>
      </x:c>
      <x:c r="C50" s="7" t="str">
        <x:v>Q3</x:v>
      </x:c>
      <x:c r="D50" s="7" t="str">
        <x:v>D02</x:v>
      </x:c>
      <x:c r="E50" s="7" t="str">
        <x:v>G06</x:v>
      </x:c>
      <x:c r="F50" s="7" t="str">
        <x:v>E021</x:v>
      </x:c>
      <x:c r="G50" s="7" t="str">
        <x:v>样例员工21</x:v>
      </x:c>
      <x:c r="H50" s="7" t="n">
        <x:v>161731.14</x:v>
      </x:c>
      <x:c r="I50" s="7" t="n">
        <x:f>MAX(Z50-K50,0)</x:f>
        <x:v>0</x:v>
      </x:c>
      <x:c r="J50" s="7" t="n">
        <x:f>H50-Z50</x:f>
        <x:v>161731.14</x:v>
      </x:c>
      <x:c r="K50" s="7" t="n">
        <x:v>0</x:v>
      </x:c>
      <x:c r="L50" s="7" t="n">
        <x:f>MAX(K50-Z50,0)</x:f>
        <x:v>0</x:v>
      </x:c>
      <x:c r="M50" s="10" t="n">
        <x:f>IF(P50=0,0,MIN(Q50/P50,1))</x:f>
        <x:v>0</x:v>
      </x:c>
      <x:c r="N50" s="10" t="n">
        <x:f>ROUND(MIN(R50,'参数'!$B$11)/'参数'!$B$11*'参数'!$B$2+S50/100*'参数'!$B$3+T50*'参数'!$B$4+U50*'参数'!$B$5+MIN(V50,'参数'!$B$12)/'参数'!$B$12*'参数'!$B$6+W50/100*'参数'!$B$7,'参数'!$B$13)</x:f>
        <x:v>0.706681</x:v>
      </x:c>
      <x:c r="O50" s="7"/>
      <x:c r="P50" s="7" t="n">
        <x:v>1474330</x:v>
      </x:c>
      <x:c r="Q50" s="7" t="n">
        <x:v>0</x:v>
      </x:c>
      <x:c r="R50" s="11" t="n">
        <x:v>9</x:v>
      </x:c>
      <x:c r="S50" s="7" t="n">
        <x:v>84</x:v>
      </x:c>
      <x:c r="T50" s="10" t="n">
        <x:v>0.807909604519774</x:v>
      </x:c>
      <x:c r="U50" s="10" t="n">
        <x:v>0.5616495238095238</x:v>
      </x:c>
      <x:c r="V50" s="11" t="n">
        <x:v>4</x:v>
      </x:c>
      <x:c r="W50" s="11" t="n">
        <x:v>66</x:v>
      </x:c>
      <x:c r="X50" s="11"/>
      <x:c r="Y50" s="7" t="str">
        <x:v>负责人评分</x:v>
      </x:c>
      <x:c r="Z50" s="7" t="n">
        <x:f>ROUND(H50*M50,2)</x:f>
        <x:v>0</x:v>
      </x:c>
      <x:c r="AA50" s="7" t="n">
        <x:v>0</x:v>
      </x:c>
      <x:c r="AB50" s="7" t="n">
        <x:v>161731.14</x:v>
      </x:c>
      <x:c r="AC50" s="10" t="n">
        <x:v>0.706681</x:v>
      </x:c>
      <x:c r="AD50" s="7" t="n">
        <x:f>ROUND(I50-AA50,2)</x:f>
        <x:v>0</x:v>
      </x:c>
      <x:c r="AE50" s="10" t="n">
        <x:f>ROUND(N50-AC50,6)</x:f>
        <x:v>0</x:v>
      </x:c>
    </x:row>
    <x:row r="51" ht="22" customHeight="1">
      <x:c r="A51" s="7" t="str">
        <x:v>QUARTER</x:v>
      </x:c>
      <x:c r="B51" s="7" t="str">
        <x:v>R1</x:v>
      </x:c>
      <x:c r="C51" s="7" t="str">
        <x:v>Q3</x:v>
      </x:c>
      <x:c r="D51" s="7" t="str">
        <x:v>D02</x:v>
      </x:c>
      <x:c r="E51" s="7" t="str">
        <x:v>G06</x:v>
      </x:c>
      <x:c r="F51" s="7" t="str">
        <x:v>E022</x:v>
      </x:c>
      <x:c r="G51" s="7" t="str">
        <x:v>样例员工22</x:v>
      </x:c>
      <x:c r="H51" s="7" t="n">
        <x:v>167156.5</x:v>
      </x:c>
      <x:c r="I51" s="7" t="n">
        <x:f>MAX(Z51-K51,0)</x:f>
        <x:v>0</x:v>
      </x:c>
      <x:c r="J51" s="7" t="n">
        <x:f>H51-Z51</x:f>
        <x:v>167156.5</x:v>
      </x:c>
      <x:c r="K51" s="7" t="n">
        <x:v>0</x:v>
      </x:c>
      <x:c r="L51" s="7" t="n">
        <x:f>MAX(K51-Z51,0)</x:f>
        <x:v>0</x:v>
      </x:c>
      <x:c r="M51" s="10" t="n">
        <x:f>IF(P51=0,0,MIN(Q51/P51,1))</x:f>
        <x:v>0</x:v>
      </x:c>
      <x:c r="N51" s="10" t="n">
        <x:f>ROUND(MIN(R51,'参数'!$B$11)/'参数'!$B$11*'参数'!$B$2+S51/100*'参数'!$B$3+T51*'参数'!$B$4+U51*'参数'!$B$5+MIN(V51,'参数'!$B$12)/'参数'!$B$12*'参数'!$B$6+W51/100*'参数'!$B$7,'参数'!$B$13)</x:f>
        <x:v>0.730387</x:v>
      </x:c>
      <x:c r="O51" s="7"/>
      <x:c r="P51" s="7" t="n">
        <x:v>1761650</x:v>
      </x:c>
      <x:c r="Q51" s="7" t="n">
        <x:v>0</x:v>
      </x:c>
      <x:c r="R51" s="11" t="n">
        <x:v>6</x:v>
      </x:c>
      <x:c r="S51" s="7" t="n">
        <x:v>65</x:v>
      </x:c>
      <x:c r="T51" s="10" t="n">
        <x:v>0.6666666666666666</x:v>
      </x:c>
      <x:c r="U51" s="10" t="n">
        <x:v>0.7829555555555555</x:v>
      </x:c>
      <x:c r="V51" s="11" t="n">
        <x:v>4</x:v>
      </x:c>
      <x:c r="W51" s="11" t="n">
        <x:v>77</x:v>
      </x:c>
      <x:c r="X51" s="11"/>
      <x:c r="Y51" s="7" t="str">
        <x:v>负责人评分</x:v>
      </x:c>
      <x:c r="Z51" s="7" t="n">
        <x:f>ROUND(H51*M51,2)</x:f>
        <x:v>0</x:v>
      </x:c>
      <x:c r="AA51" s="7" t="n">
        <x:v>0</x:v>
      </x:c>
      <x:c r="AB51" s="7" t="n">
        <x:v>167156.5</x:v>
      </x:c>
      <x:c r="AC51" s="10" t="n">
        <x:v>0.730387</x:v>
      </x:c>
      <x:c r="AD51" s="7" t="n">
        <x:f>ROUND(I51-AA51,2)</x:f>
        <x:v>0</x:v>
      </x:c>
      <x:c r="AE51" s="10" t="n">
        <x:f>ROUND(N51-AC51,6)</x:f>
        <x:v>0</x:v>
      </x:c>
    </x:row>
    <x:row r="52" ht="22" customHeight="1">
      <x:c r="A52" s="7" t="str">
        <x:v>QUARTER</x:v>
      </x:c>
      <x:c r="B52" s="7" t="str">
        <x:v>R1</x:v>
      </x:c>
      <x:c r="C52" s="7" t="str">
        <x:v>Q3</x:v>
      </x:c>
      <x:c r="D52" s="7" t="str">
        <x:v>D02</x:v>
      </x:c>
      <x:c r="E52" s="7" t="str">
        <x:v>G06</x:v>
      </x:c>
      <x:c r="F52" s="7" t="str">
        <x:v>E023</x:v>
      </x:c>
      <x:c r="G52" s="7" t="str">
        <x:v>样例员工23</x:v>
      </x:c>
      <x:c r="H52" s="7" t="n">
        <x:v>191633.55</x:v>
      </x:c>
      <x:c r="I52" s="7" t="n">
        <x:f>MAX(Z52-K52,0)</x:f>
        <x:v>0</x:v>
      </x:c>
      <x:c r="J52" s="7" t="n">
        <x:f>H52-Z52</x:f>
        <x:v>191633.55</x:v>
      </x:c>
      <x:c r="K52" s="7" t="n">
        <x:v>0</x:v>
      </x:c>
      <x:c r="L52" s="7" t="n">
        <x:f>MAX(K52-Z52,0)</x:f>
        <x:v>0</x:v>
      </x:c>
      <x:c r="M52" s="10" t="n">
        <x:f>IF(P52=0,0,MIN(Q52/P52,1))</x:f>
        <x:v>0</x:v>
      </x:c>
      <x:c r="N52" s="10" t="n">
        <x:f>ROUND(MIN(R52,'参数'!$B$11)/'参数'!$B$11*'参数'!$B$2+S52/100*'参数'!$B$3+T52*'参数'!$B$4+U52*'参数'!$B$5+MIN(V52,'参数'!$B$12)/'参数'!$B$12*'参数'!$B$6+W52/100*'参数'!$B$7,'参数'!$B$13)</x:f>
        <x:v>0.837339</x:v>
      </x:c>
      <x:c r="O52" s="7"/>
      <x:c r="P52" s="7" t="n">
        <x:v>2075810</x:v>
      </x:c>
      <x:c r="Q52" s="7" t="n">
        <x:v>0</x:v>
      </x:c>
      <x:c r="R52" s="11" t="n">
        <x:v>3</x:v>
      </x:c>
      <x:c r="S52" s="7" t="n">
        <x:v>93</x:v>
      </x:c>
      <x:c r="T52" s="10" t="n">
        <x:v>0.575591985428051</x:v>
      </x:c>
      <x:c r="U52" s="10" t="n">
        <x:v>1</x:v>
      </x:c>
      <x:c r="V52" s="11" t="n">
        <x:v>5</x:v>
      </x:c>
      <x:c r="W52" s="11" t="n">
        <x:v>95</x:v>
      </x:c>
      <x:c r="X52" s="11"/>
      <x:c r="Y52" s="7" t="str">
        <x:v>负责人评分</x:v>
      </x:c>
      <x:c r="Z52" s="7" t="n">
        <x:f>ROUND(H52*M52,2)</x:f>
        <x:v>0</x:v>
      </x:c>
      <x:c r="AA52" s="7" t="n">
        <x:v>0</x:v>
      </x:c>
      <x:c r="AB52" s="7" t="n">
        <x:v>191633.55</x:v>
      </x:c>
      <x:c r="AC52" s="10" t="n">
        <x:v>0.837339</x:v>
      </x:c>
      <x:c r="AD52" s="7" t="n">
        <x:f>ROUND(I52-AA52,2)</x:f>
        <x:v>0</x:v>
      </x:c>
      <x:c r="AE52" s="10" t="n">
        <x:f>ROUND(N52-AC52,6)</x:f>
        <x:v>0</x:v>
      </x:c>
    </x:row>
    <x:row r="53" ht="22" customHeight="1">
      <x:c r="A53" s="7" t="str">
        <x:v>QUARTER</x:v>
      </x:c>
      <x:c r="B53" s="7" t="str">
        <x:v>R1</x:v>
      </x:c>
      <x:c r="C53" s="7" t="str">
        <x:v>Q3</x:v>
      </x:c>
      <x:c r="D53" s="7" t="str">
        <x:v>D02</x:v>
      </x:c>
      <x:c r="E53" s="7" t="str">
        <x:v>G06</x:v>
      </x:c>
      <x:c r="F53" s="7" t="str">
        <x:v>E024</x:v>
      </x:c>
      <x:c r="G53" s="7" t="str">
        <x:v>样例员工24</x:v>
      </x:c>
      <x:c r="H53" s="7" t="n">
        <x:v>163978.31</x:v>
      </x:c>
      <x:c r="I53" s="7" t="n">
        <x:f>MAX(Z53-K53,0)</x:f>
        <x:v>0</x:v>
      </x:c>
      <x:c r="J53" s="7" t="n">
        <x:f>H53-Z53</x:f>
        <x:v>163978.31</x:v>
      </x:c>
      <x:c r="K53" s="7" t="n">
        <x:v>0</x:v>
      </x:c>
      <x:c r="L53" s="7" t="n">
        <x:f>MAX(K53-Z53,0)</x:f>
        <x:v>0</x:v>
      </x:c>
      <x:c r="M53" s="10" t="n">
        <x:f>IF(P53=0,0,MIN(Q53/P53,1))</x:f>
        <x:v>0</x:v>
      </x:c>
      <x:c r="N53" s="10" t="n">
        <x:f>ROUND(MIN(R53,'参数'!$B$11)/'参数'!$B$11*'参数'!$B$2+S53/100*'参数'!$B$3+T53*'参数'!$B$4+U53*'参数'!$B$5+MIN(V53,'参数'!$B$12)/'参数'!$B$12*'参数'!$B$6+W53/100*'参数'!$B$7,'参数'!$B$13)</x:f>
        <x:v>0.7165</x:v>
      </x:c>
      <x:c r="O53" s="7"/>
      <x:c r="P53" s="7" t="n">
        <x:v>2014210</x:v>
      </x:c>
      <x:c r="Q53" s="7" t="n">
        <x:v>0</x:v>
      </x:c>
      <x:c r="R53" s="11" t="n">
        <x:v>0</x:v>
      </x:c>
      <x:c r="S53" s="7" t="n">
        <x:v>76</x:v>
      </x:c>
      <x:c r="T53" s="10" t="n">
        <x:v>0.6666666666666666</x:v>
      </x:c>
      <x:c r="U53" s="10" t="n">
        <x:v>1</x:v>
      </x:c>
      <x:c r="V53" s="11" t="n">
        <x:v>5</x:v>
      </x:c>
      <x:c r="W53" s="11" t="n">
        <x:v>68</x:v>
      </x:c>
      <x:c r="X53" s="11"/>
      <x:c r="Y53" s="7" t="str">
        <x:v>负责人评分</x:v>
      </x:c>
      <x:c r="Z53" s="7" t="n">
        <x:f>ROUND(H53*M53,2)</x:f>
        <x:v>0</x:v>
      </x:c>
      <x:c r="AA53" s="7" t="n">
        <x:v>0</x:v>
      </x:c>
      <x:c r="AB53" s="7" t="n">
        <x:v>163978.31</x:v>
      </x:c>
      <x:c r="AC53" s="10" t="n">
        <x:v>0.7165</x:v>
      </x:c>
      <x:c r="AD53" s="7" t="n">
        <x:f>ROUND(I53-AA53,2)</x:f>
        <x:v>0</x:v>
      </x:c>
      <x:c r="AE53" s="10" t="n">
        <x:f>ROUND(N53-AC53,6)</x:f>
        <x:v>0</x:v>
      </x:c>
    </x:row>
    <x:row r="54" ht="22" customHeight="1">
      <x:c r="A54" s="7" t="str">
        <x:v>QUARTER</x:v>
      </x:c>
      <x:c r="B54" s="7" t="str">
        <x:v>R2</x:v>
      </x:c>
      <x:c r="C54" s="7" t="str">
        <x:v>Q3</x:v>
      </x:c>
      <x:c r="D54" s="7" t="str">
        <x:v>D01</x:v>
      </x:c>
      <x:c r="E54" s="7" t="str">
        <x:v>G01</x:v>
      </x:c>
      <x:c r="F54" s="7" t="str">
        <x:v>E001</x:v>
      </x:c>
      <x:c r="G54" s="7" t="str">
        <x:v>样例员工01</x:v>
      </x:c>
      <x:c r="H54" s="7" t="n">
        <x:v>150000</x:v>
      </x:c>
      <x:c r="I54" s="7" t="n">
        <x:f>MAX(Z54-K54,0)</x:f>
        <x:v>59099.27</x:v>
      </x:c>
      <x:c r="J54" s="7" t="n">
        <x:f>H54-Z54</x:f>
        <x:v>90900.73000000001</x:v>
      </x:c>
      <x:c r="K54" s="7" t="n">
        <x:v>0</x:v>
      </x:c>
      <x:c r="L54" s="7" t="n">
        <x:f>MAX(K54-Z54,0)</x:f>
        <x:v>0</x:v>
      </x:c>
      <x:c r="M54" s="10" t="n">
        <x:f>IF(P54=0,0,MIN(Q54/P54,1))</x:f>
        <x:v>0.3939951024850354</x:v>
      </x:c>
      <x:c r="N54" s="10" t="n">
        <x:f>ROUND(MIN(R54,'参数'!$B$11)/'参数'!$B$11*'参数'!$B$2+S54/100*'参数'!$B$3+T54*'参数'!$B$4+U54*'参数'!$B$5+MIN(V54,'参数'!$B$12)/'参数'!$B$12*'参数'!$B$6+W54/100*'参数'!$B$7,'参数'!$B$13)</x:f>
        <x:v>0.728431</x:v>
      </x:c>
      <x:c r="O54" s="7" t="n">
        <x:v>150000</x:v>
      </x:c>
      <x:c r="P54" s="7" t="n">
        <x:v>2425720</x:v>
      </x:c>
      <x:c r="Q54" s="7" t="n">
        <x:v>955721.8</x:v>
      </x:c>
      <x:c r="R54" s="11" t="n">
        <x:v>9</x:v>
      </x:c>
      <x:c r="S54" s="7" t="n">
        <x:v>97</x:v>
      </x:c>
      <x:c r="T54" s="10" t="n">
        <x:v>0.5760869565217391</x:v>
      </x:c>
      <x:c r="U54" s="10" t="n">
        <x:v>0.6417248677248677</x:v>
      </x:c>
      <x:c r="V54" s="11" t="n">
        <x:v>5</x:v>
      </x:c>
      <x:c r="W54" s="11" t="n">
        <x:v>62</x:v>
      </x:c>
      <x:c r="X54" s="11" t="n">
        <x:v>97</x:v>
      </x:c>
      <x:c r="Y54" s="7" t="str">
        <x:v>AI建议经人工确认</x:v>
      </x:c>
      <x:c r="Z54" s="7" t="n">
        <x:f>ROUND(H54*M54,2)</x:f>
        <x:v>59099.27</x:v>
      </x:c>
      <x:c r="AA54" s="7" t="n">
        <x:v>59099.27</x:v>
      </x:c>
      <x:c r="AB54" s="7" t="n">
        <x:v>90900.73</x:v>
      </x:c>
      <x:c r="AC54" s="10" t="n">
        <x:v>0.728431</x:v>
      </x:c>
      <x:c r="AD54" s="7" t="n">
        <x:f>ROUND(I54-AA54,2)</x:f>
        <x:v>0</x:v>
      </x:c>
      <x:c r="AE54" s="10" t="n">
        <x:f>ROUND(N54-AC54,6)</x:f>
        <x:v>0</x:v>
      </x:c>
    </x:row>
    <x:row r="55" ht="22" customHeight="1">
      <x:c r="A55" s="7" t="str">
        <x:v>QUARTER</x:v>
      </x:c>
      <x:c r="B55" s="7" t="str">
        <x:v>R2</x:v>
      </x:c>
      <x:c r="C55" s="7" t="str">
        <x:v>Q3</x:v>
      </x:c>
      <x:c r="D55" s="7" t="str">
        <x:v>D01</x:v>
      </x:c>
      <x:c r="E55" s="7" t="str">
        <x:v>G01</x:v>
      </x:c>
      <x:c r="F55" s="7" t="str">
        <x:v>E002</x:v>
      </x:c>
      <x:c r="G55" s="7" t="str">
        <x:v>样例员工02</x:v>
      </x:c>
      <x:c r="H55" s="7" t="n">
        <x:v>258830.1</x:v>
      </x:c>
      <x:c r="I55" s="7" t="n">
        <x:f>MAX(Z55-K55,0)</x:f>
        <x:v>99144.15</x:v>
      </x:c>
      <x:c r="J55" s="7" t="n">
        <x:f>H55-Z55</x:f>
        <x:v>159685.95</x:v>
      </x:c>
      <x:c r="K55" s="7" t="n">
        <x:v>0</x:v>
      </x:c>
      <x:c r="L55" s="7" t="n">
        <x:f>MAX(K55-Z55,0)</x:f>
        <x:v>0</x:v>
      </x:c>
      <x:c r="M55" s="10" t="n">
        <x:f>IF(P55=0,0,MIN(Q55/P55,1))</x:f>
        <x:v>0.3830472103004292</x:v>
      </x:c>
      <x:c r="N55" s="10" t="n">
        <x:f>ROUND(MIN(R55,'参数'!$B$11)/'参数'!$B$11*'参数'!$B$2+S55/100*'参数'!$B$3+T55*'参数'!$B$4+U55*'参数'!$B$5+MIN(V55,'参数'!$B$12)/'参数'!$B$12*'参数'!$B$6+W55/100*'参数'!$B$7,'参数'!$B$13)</x:f>
        <x:v>0.753344</x:v>
      </x:c>
      <x:c r="O55" s="7"/>
      <x:c r="P55" s="7" t="n">
        <x:v>2152920</x:v>
      </x:c>
      <x:c r="Q55" s="7" t="n">
        <x:v>824670</x:v>
      </x:c>
      <x:c r="R55" s="11" t="n">
        <x:v>6</x:v>
      </x:c>
      <x:c r="S55" s="7" t="n">
        <x:v>94</x:v>
      </x:c>
      <x:c r="T55" s="10" t="n">
        <x:v>0.6666666666666666</x:v>
      </x:c>
      <x:c r="U55" s="10" t="n">
        <x:v>0.6644814814814815</x:v>
      </x:c>
      <x:c r="V55" s="11" t="n">
        <x:v>5</x:v>
      </x:c>
      <x:c r="W55" s="11" t="n">
        <x:v>69</x:v>
      </x:c>
      <x:c r="X55" s="11" t="n">
        <x:v>76</x:v>
      </x:c>
      <x:c r="Y55" s="7" t="str">
        <x:v>AI建议经人工确认</x:v>
      </x:c>
      <x:c r="Z55" s="7" t="n">
        <x:f>ROUND(H55*M55,2)</x:f>
        <x:v>99144.15</x:v>
      </x:c>
      <x:c r="AA55" s="7" t="n">
        <x:v>99144.15</x:v>
      </x:c>
      <x:c r="AB55" s="7" t="n">
        <x:v>159685.95</x:v>
      </x:c>
      <x:c r="AC55" s="10" t="n">
        <x:v>0.753344</x:v>
      </x:c>
      <x:c r="AD55" s="7" t="n">
        <x:f>ROUND(I55-AA55,2)</x:f>
        <x:v>0</x:v>
      </x:c>
      <x:c r="AE55" s="10" t="n">
        <x:f>ROUND(N55-AC55,6)</x:f>
        <x:v>0</x:v>
      </x:c>
    </x:row>
    <x:row r="56" ht="22" customHeight="1">
      <x:c r="A56" s="7" t="str">
        <x:v>QUARTER</x:v>
      </x:c>
      <x:c r="B56" s="7" t="str">
        <x:v>R2</x:v>
      </x:c>
      <x:c r="C56" s="7" t="str">
        <x:v>Q3</x:v>
      </x:c>
      <x:c r="D56" s="7" t="str">
        <x:v>D01</x:v>
      </x:c>
      <x:c r="E56" s="7" t="str">
        <x:v>G01</x:v>
      </x:c>
      <x:c r="F56" s="7" t="str">
        <x:v>E003</x:v>
      </x:c>
      <x:c r="G56" s="7" t="str">
        <x:v>样例员工03</x:v>
      </x:c>
      <x:c r="H56" s="7" t="n">
        <x:v>242593.44</x:v>
      </x:c>
      <x:c r="I56" s="7" t="n">
        <x:f>MAX(Z56-K56,0)</x:f>
        <x:v>85018.18</x:v>
      </x:c>
      <x:c r="J56" s="7" t="n">
        <x:f>H56-Z56</x:f>
        <x:v>157575.26</x:v>
      </x:c>
      <x:c r="K56" s="7" t="n">
        <x:v>0</x:v>
      </x:c>
      <x:c r="L56" s="7" t="n">
        <x:f>MAX(K56-Z56,0)</x:f>
        <x:v>0</x:v>
      </x:c>
      <x:c r="M56" s="10" t="n">
        <x:f>IF(P56=0,0,MIN(Q56/P56,1))</x:f>
        <x:v>0.3504553971486762</x:v>
      </x:c>
      <x:c r="N56" s="10" t="n">
        <x:f>ROUND(MIN(R56,'参数'!$B$11)/'参数'!$B$11*'参数'!$B$2+S56/100*'参数'!$B$3+T56*'参数'!$B$4+U56*'参数'!$B$5+MIN(V56,'参数'!$B$12)/'参数'!$B$12*'参数'!$B$6+W56/100*'参数'!$B$7,'参数'!$B$13)</x:f>
        <x:v>0.706086</x:v>
      </x:c>
      <x:c r="O56" s="7"/>
      <x:c r="P56" s="7" t="n">
        <x:v>1350250</x:v>
      </x:c>
      <x:c r="Q56" s="7" t="n">
        <x:v>473202.4</x:v>
      </x:c>
      <x:c r="R56" s="11" t="n">
        <x:v>3</x:v>
      </x:c>
      <x:c r="S56" s="7" t="n">
        <x:v>97</x:v>
      </x:c>
      <x:c r="T56" s="10" t="n">
        <x:v>0.8103448275862069</x:v>
      </x:c>
      <x:c r="U56" s="10" t="n">
        <x:v>0.6251157407407407</x:v>
      </x:c>
      <x:c r="V56" s="11" t="n">
        <x:v>4</x:v>
      </x:c>
      <x:c r="W56" s="11" t="n">
        <x:v>62</x:v>
      </x:c>
      <x:c r="X56" s="11" t="n">
        <x:v>97</x:v>
      </x:c>
      <x:c r="Y56" s="7" t="str">
        <x:v>AI建议经人工确认</x:v>
      </x:c>
      <x:c r="Z56" s="7" t="n">
        <x:f>ROUND(H56*M56,2)</x:f>
        <x:v>85018.18</x:v>
      </x:c>
      <x:c r="AA56" s="7" t="n">
        <x:v>85018.18</x:v>
      </x:c>
      <x:c r="AB56" s="7" t="n">
        <x:v>157575.26</x:v>
      </x:c>
      <x:c r="AC56" s="10" t="n">
        <x:v>0.706086</x:v>
      </x:c>
      <x:c r="AD56" s="7" t="n">
        <x:f>ROUND(I56-AA56,2)</x:f>
        <x:v>0</x:v>
      </x:c>
      <x:c r="AE56" s="10" t="n">
        <x:f>ROUND(N56-AC56,6)</x:f>
        <x:v>0</x:v>
      </x:c>
    </x:row>
    <x:row r="57" ht="22" customHeight="1">
      <x:c r="A57" s="7" t="str">
        <x:v>QUARTER</x:v>
      </x:c>
      <x:c r="B57" s="7" t="str">
        <x:v>R2</x:v>
      </x:c>
      <x:c r="C57" s="7" t="str">
        <x:v>Q3</x:v>
      </x:c>
      <x:c r="D57" s="7" t="str">
        <x:v>D01</x:v>
      </x:c>
      <x:c r="E57" s="7" t="str">
        <x:v>G01</x:v>
      </x:c>
      <x:c r="F57" s="7" t="str">
        <x:v>E004</x:v>
      </x:c>
      <x:c r="G57" s="7" t="str">
        <x:v>样例员工04</x:v>
      </x:c>
      <x:c r="H57" s="7" t="n">
        <x:v>248576.46</x:v>
      </x:c>
      <x:c r="I57" s="7" t="n">
        <x:f>MAX(Z57-K57,0)</x:f>
        <x:v>84732.92</x:v>
      </x:c>
      <x:c r="J57" s="7" t="n">
        <x:f>H57-Z57</x:f>
        <x:v>163843.53999999998</x:v>
      </x:c>
      <x:c r="K57" s="7" t="n">
        <x:v>0</x:v>
      </x:c>
      <x:c r="L57" s="7" t="n">
        <x:f>MAX(K57-Z57,0)</x:f>
        <x:v>0</x:v>
      </x:c>
      <x:c r="M57" s="10" t="n">
        <x:f>IF(P57=0,0,MIN(Q57/P57,1))</x:f>
        <x:v>0.34087267060580484</x:v>
      </x:c>
      <x:c r="N57" s="10" t="n">
        <x:f>ROUND(MIN(R57,'参数'!$B$11)/'参数'!$B$11*'参数'!$B$2+S57/100*'参数'!$B$3+T57*'参数'!$B$4+U57*'参数'!$B$5+MIN(V57,'参数'!$B$12)/'参数'!$B$12*'参数'!$B$6+W57/100*'参数'!$B$7,'参数'!$B$13)</x:f>
        <x:v>0.7235</x:v>
      </x:c>
      <x:c r="O57" s="7"/>
      <x:c r="P57" s="7" t="n">
        <x:v>1694110</x:v>
      </x:c>
      <x:c r="Q57" s="7" t="n">
        <x:v>577475.8</x:v>
      </x:c>
      <x:c r="R57" s="11" t="n">
        <x:v>0</x:v>
      </x:c>
      <x:c r="S57" s="7" t="n">
        <x:v>82</x:v>
      </x:c>
      <x:c r="T57" s="10" t="n">
        <x:v>0.6666666666666666</x:v>
      </x:c>
      <x:c r="U57" s="10" t="n">
        <x:v>1</x:v>
      </x:c>
      <x:c r="V57" s="11" t="n">
        <x:v>4</x:v>
      </x:c>
      <x:c r="W57" s="11" t="n">
        <x:v>73</x:v>
      </x:c>
      <x:c r="X57" s="11" t="n">
        <x:v>73</x:v>
      </x:c>
      <x:c r="Y57" s="7" t="str">
        <x:v>AI建议经人工确认</x:v>
      </x:c>
      <x:c r="Z57" s="7" t="n">
        <x:f>ROUND(H57*M57,2)</x:f>
        <x:v>84732.92</x:v>
      </x:c>
      <x:c r="AA57" s="7" t="n">
        <x:v>84732.92</x:v>
      </x:c>
      <x:c r="AB57" s="7" t="n">
        <x:v>163843.54</x:v>
      </x:c>
      <x:c r="AC57" s="10" t="n">
        <x:v>0.7235</x:v>
      </x:c>
      <x:c r="AD57" s="7" t="n">
        <x:f>ROUND(I57-AA57,2)</x:f>
        <x:v>0</x:v>
      </x:c>
      <x:c r="AE57" s="10" t="n">
        <x:f>ROUND(N57-AC57,6)</x:f>
        <x:v>0</x:v>
      </x:c>
    </x:row>
    <x:row r="58" ht="22" customHeight="1">
      <x:c r="A58" s="7" t="str">
        <x:v>QUARTER</x:v>
      </x:c>
      <x:c r="B58" s="7" t="str">
        <x:v>R2</x:v>
      </x:c>
      <x:c r="C58" s="7" t="str">
        <x:v>Q3</x:v>
      </x:c>
      <x:c r="D58" s="7" t="str">
        <x:v>D01</x:v>
      </x:c>
      <x:c r="E58" s="7" t="str">
        <x:v>G02</x:v>
      </x:c>
      <x:c r="F58" s="7" t="str">
        <x:v>E005</x:v>
      </x:c>
      <x:c r="G58" s="7" t="str">
        <x:v>样例员工05</x:v>
      </x:c>
      <x:c r="H58" s="7" t="n">
        <x:v>152071.79</x:v>
      </x:c>
      <x:c r="I58" s="7" t="n">
        <x:f>MAX(Z58-K58,0)</x:f>
        <x:v>58724.63</x:v>
      </x:c>
      <x:c r="J58" s="7" t="n">
        <x:f>H58-Z58</x:f>
        <x:v>93347.16</x:v>
      </x:c>
      <x:c r="K58" s="7" t="n">
        <x:v>0</x:v>
      </x:c>
      <x:c r="L58" s="7" t="n">
        <x:f>MAX(K58-Z58,0)</x:f>
        <x:v>0</x:v>
      </x:c>
      <x:c r="M58" s="10" t="n">
        <x:f>IF(P58=0,0,MIN(Q58/P58,1))</x:f>
        <x:v>0.38616384357193034</x:v>
      </x:c>
      <x:c r="N58" s="10" t="n">
        <x:f>ROUND(MIN(R58,'参数'!$B$11)/'参数'!$B$11*'参数'!$B$2+S58/100*'参数'!$B$3+T58*'参数'!$B$4+U58*'参数'!$B$5+MIN(V58,'参数'!$B$12)/'参数'!$B$12*'参数'!$B$6+W58/100*'参数'!$B$7,'参数'!$B$13)</x:f>
        <x:v>0.679506</x:v>
      </x:c>
      <x:c r="O58" s="7"/>
      <x:c r="P58" s="7" t="n">
        <x:v>1409210</x:v>
      </x:c>
      <x:c r="Q58" s="7" t="n">
        <x:v>544185.95</x:v>
      </x:c>
      <x:c r="R58" s="11" t="n">
        <x:v>9</x:v>
      </x:c>
      <x:c r="S58" s="7" t="n">
        <x:v>72</x:v>
      </x:c>
      <x:c r="T58" s="10" t="n">
        <x:v>0.807909604519774</x:v>
      </x:c>
      <x:c r="U58" s="10" t="n">
        <x:v>0.4260650037792895</x:v>
      </x:c>
      <x:c r="V58" s="11" t="n">
        <x:v>4</x:v>
      </x:c>
      <x:c r="W58" s="11" t="n">
        <x:v>91</x:v>
      </x:c>
      <x:c r="X58" s="11" t="n">
        <x:v>63</x:v>
      </x:c>
      <x:c r="Y58" s="7" t="str">
        <x:v>AI建议经人工确认</x:v>
      </x:c>
      <x:c r="Z58" s="7" t="n">
        <x:f>ROUND(H58*M58,2)</x:f>
        <x:v>58724.63</x:v>
      </x:c>
      <x:c r="AA58" s="7" t="n">
        <x:v>58724.63</x:v>
      </x:c>
      <x:c r="AB58" s="7" t="n">
        <x:v>93347.16</x:v>
      </x:c>
      <x:c r="AC58" s="10" t="n">
        <x:v>0.679506</x:v>
      </x:c>
      <x:c r="AD58" s="7" t="n">
        <x:f>ROUND(I58-AA58,2)</x:f>
        <x:v>0</x:v>
      </x:c>
      <x:c r="AE58" s="10" t="n">
        <x:f>ROUND(N58-AC58,6)</x:f>
        <x:v>0</x:v>
      </x:c>
    </x:row>
    <x:row r="59" ht="22" customHeight="1">
      <x:c r="A59" s="7" t="str">
        <x:v>QUARTER</x:v>
      </x:c>
      <x:c r="B59" s="7" t="str">
        <x:v>R2</x:v>
      </x:c>
      <x:c r="C59" s="7" t="str">
        <x:v>Q3</x:v>
      </x:c>
      <x:c r="D59" s="7" t="str">
        <x:v>D01</x:v>
      </x:c>
      <x:c r="E59" s="7" t="str">
        <x:v>G02</x:v>
      </x:c>
      <x:c r="F59" s="7" t="str">
        <x:v>E006</x:v>
      </x:c>
      <x:c r="G59" s="7" t="str">
        <x:v>样例员工06</x:v>
      </x:c>
      <x:c r="H59" s="7" t="n">
        <x:v>157936.85</x:v>
      </x:c>
      <x:c r="I59" s="7" t="n">
        <x:f>MAX(Z59-K59,0)</x:f>
        <x:v>52234.51</x:v>
      </x:c>
      <x:c r="J59" s="7" t="n">
        <x:f>H59-Z59</x:f>
        <x:v>105702.34</x:v>
      </x:c>
      <x:c r="K59" s="7" t="n">
        <x:v>0</x:v>
      </x:c>
      <x:c r="L59" s="7" t="n">
        <x:f>MAX(K59-Z59,0)</x:f>
        <x:v>0</x:v>
      </x:c>
      <x:c r="M59" s="10" t="n">
        <x:f>IF(P59=0,0,MIN(Q59/P59,1))</x:f>
        <x:v>0.3307303714582951</x:v>
      </x:c>
      <x:c r="N59" s="10" t="n">
        <x:f>ROUND(MIN(R59,'参数'!$B$11)/'参数'!$B$11*'参数'!$B$2+S59/100*'参数'!$B$3+T59*'参数'!$B$4+U59*'参数'!$B$5+MIN(V59,'参数'!$B$12)/'参数'!$B$12*'参数'!$B$6+W59/100*'参数'!$B$7,'参数'!$B$13)</x:f>
        <x:v>0.705713</x:v>
      </x:c>
      <x:c r="O59" s="7"/>
      <x:c r="P59" s="7" t="n">
        <x:v>1797510</x:v>
      </x:c>
      <x:c r="Q59" s="7" t="n">
        <x:v>594491.15</x:v>
      </x:c>
      <x:c r="R59" s="11" t="n">
        <x:v>6</x:v>
      </x:c>
      <x:c r="S59" s="7" t="n">
        <x:v>69</x:v>
      </x:c>
      <x:c r="T59" s="10" t="n">
        <x:v>0.6666666666666666</x:v>
      </x:c>
      <x:c r="U59" s="10" t="n">
        <x:v>0.6340423280423281</x:v>
      </x:c>
      <x:c r="V59" s="11" t="n">
        <x:v>4</x:v>
      </x:c>
      <x:c r="W59" s="11" t="n">
        <x:v>85</x:v>
      </x:c>
      <x:c r="X59" s="11" t="n">
        <x:v>71</x:v>
      </x:c>
      <x:c r="Y59" s="7" t="str">
        <x:v>AI建议经人工确认</x:v>
      </x:c>
      <x:c r="Z59" s="7" t="n">
        <x:f>ROUND(H59*M59,2)</x:f>
        <x:v>52234.51</x:v>
      </x:c>
      <x:c r="AA59" s="7" t="n">
        <x:v>52234.51</x:v>
      </x:c>
      <x:c r="AB59" s="7" t="n">
        <x:v>105702.34</x:v>
      </x:c>
      <x:c r="AC59" s="10" t="n">
        <x:v>0.705713</x:v>
      </x:c>
      <x:c r="AD59" s="7" t="n">
        <x:f>ROUND(I59-AA59,2)</x:f>
        <x:v>0</x:v>
      </x:c>
      <x:c r="AE59" s="10" t="n">
        <x:f>ROUND(N59-AC59,6)</x:f>
        <x:v>0</x:v>
      </x:c>
    </x:row>
    <x:row r="60" ht="22" customHeight="1">
      <x:c r="A60" s="7" t="str">
        <x:v>QUARTER</x:v>
      </x:c>
      <x:c r="B60" s="7" t="str">
        <x:v>R2</x:v>
      </x:c>
      <x:c r="C60" s="7" t="str">
        <x:v>Q3</x:v>
      </x:c>
      <x:c r="D60" s="7" t="str">
        <x:v>D01</x:v>
      </x:c>
      <x:c r="E60" s="7" t="str">
        <x:v>G02</x:v>
      </x:c>
      <x:c r="F60" s="7" t="str">
        <x:v>E007</x:v>
      </x:c>
      <x:c r="G60" s="7" t="str">
        <x:v>样例员工07</x:v>
      </x:c>
      <x:c r="H60" s="7" t="n">
        <x:v>176987.85</x:v>
      </x:c>
      <x:c r="I60" s="7" t="n">
        <x:f>MAX(Z60-K60,0)</x:f>
        <x:v>62946.36</x:v>
      </x:c>
      <x:c r="J60" s="7" t="n">
        <x:f>H60-Z60</x:f>
        <x:v>114041.49</x:v>
      </x:c>
      <x:c r="K60" s="7" t="n">
        <x:v>0</x:v>
      </x:c>
      <x:c r="L60" s="7" t="n">
        <x:f>MAX(K60-Z60,0)</x:f>
        <x:v>0</x:v>
      </x:c>
      <x:c r="M60" s="10" t="n">
        <x:f>IF(P60=0,0,MIN(Q60/P60,1))</x:f>
        <x:v>0.3556535750718724</x:v>
      </x:c>
      <x:c r="N60" s="10" t="n">
        <x:f>ROUND(MIN(R60,'参数'!$B$11)/'参数'!$B$11*'参数'!$B$2+S60/100*'参数'!$B$3+T60*'参数'!$B$4+U60*'参数'!$B$5+MIN(V60,'参数'!$B$12)/'参数'!$B$12*'参数'!$B$6+W60/100*'参数'!$B$7,'参数'!$B$13)</x:f>
        <x:v>0.790839</x:v>
      </x:c>
      <x:c r="O60" s="7"/>
      <x:c r="P60" s="7" t="n">
        <x:v>2372260</x:v>
      </x:c>
      <x:c r="Q60" s="7" t="n">
        <x:v>843702.75</x:v>
      </x:c>
      <x:c r="R60" s="11" t="n">
        <x:v>3</x:v>
      </x:c>
      <x:c r="S60" s="7" t="n">
        <x:v>78</x:v>
      </x:c>
      <x:c r="T60" s="10" t="n">
        <x:v>0.575591985428051</x:v>
      </x:c>
      <x:c r="U60" s="10" t="n">
        <x:v>1</x:v>
      </x:c>
      <x:c r="V60" s="11" t="n">
        <x:v>5</x:v>
      </x:c>
      <x:c r="W60" s="11" t="n">
        <x:v>84</x:v>
      </x:c>
      <x:c r="X60" s="11"/>
      <x:c r="Y60" s="7" t="str">
        <x:v>负责人评分</x:v>
      </x:c>
      <x:c r="Z60" s="7" t="n">
        <x:f>ROUND(H60*M60,2)</x:f>
        <x:v>62946.36</x:v>
      </x:c>
      <x:c r="AA60" s="7" t="n">
        <x:v>62946.36</x:v>
      </x:c>
      <x:c r="AB60" s="7" t="n">
        <x:v>114041.49</x:v>
      </x:c>
      <x:c r="AC60" s="10" t="n">
        <x:v>0.790839</x:v>
      </x:c>
      <x:c r="AD60" s="7" t="n">
        <x:f>ROUND(I60-AA60,2)</x:f>
        <x:v>0</x:v>
      </x:c>
      <x:c r="AE60" s="10" t="n">
        <x:f>ROUND(N60-AC60,6)</x:f>
        <x:v>0</x:v>
      </x:c>
    </x:row>
    <x:row r="61" ht="22" customHeight="1">
      <x:c r="A61" s="7" t="str">
        <x:v>QUARTER</x:v>
      </x:c>
      <x:c r="B61" s="7" t="str">
        <x:v>R2</x:v>
      </x:c>
      <x:c r="C61" s="7" t="str">
        <x:v>Q3</x:v>
      </x:c>
      <x:c r="D61" s="7" t="str">
        <x:v>D01</x:v>
      </x:c>
      <x:c r="E61" s="7" t="str">
        <x:v>G02</x:v>
      </x:c>
      <x:c r="F61" s="7" t="str">
        <x:v>E008</x:v>
      </x:c>
      <x:c r="G61" s="7" t="str">
        <x:v>样例员工08</x:v>
      </x:c>
      <x:c r="H61" s="7" t="n">
        <x:v>159679.56</x:v>
      </x:c>
      <x:c r="I61" s="7" t="n">
        <x:f>MAX(Z61-K61,0)</x:f>
        <x:v>62394.35</x:v>
      </x:c>
      <x:c r="J61" s="7" t="n">
        <x:f>H61-Z61</x:f>
        <x:v>97285.20999999999</x:v>
      </x:c>
      <x:c r="K61" s="7" t="n">
        <x:v>0</x:v>
      </x:c>
      <x:c r="L61" s="7" t="n">
        <x:f>MAX(K61-Z61,0)</x:f>
        <x:v>0</x:v>
      </x:c>
      <x:c r="M61" s="10" t="n">
        <x:f>IF(P61=0,0,MIN(Q61/P61,1))</x:f>
        <x:v>0.3907472285006996</x:v>
      </x:c>
      <x:c r="N61" s="10" t="n">
        <x:f>ROUND(MIN(R61,'参数'!$B$11)/'参数'!$B$11*'参数'!$B$2+S61/100*'参数'!$B$3+T61*'参数'!$B$4+U61*'参数'!$B$5+MIN(V61,'参数'!$B$12)/'参数'!$B$12*'参数'!$B$6+W61/100*'参数'!$B$7,'参数'!$B$13)</x:f>
        <x:v>0.7135</x:v>
      </x:c>
      <x:c r="O61" s="7"/>
      <x:c r="P61" s="7" t="n">
        <x:v>2044020</x:v>
      </x:c>
      <x:c r="Q61" s="7" t="n">
        <x:v>798695.15</x:v>
      </x:c>
      <x:c r="R61" s="11" t="n">
        <x:v>0</x:v>
      </x:c>
      <x:c r="S61" s="7" t="n">
        <x:v>70</x:v>
      </x:c>
      <x:c r="T61" s="10" t="n">
        <x:v>0.6666666666666666</x:v>
      </x:c>
      <x:c r="U61" s="10" t="n">
        <x:v>1</x:v>
      </x:c>
      <x:c r="V61" s="11" t="n">
        <x:v>5</x:v>
      </x:c>
      <x:c r="W61" s="11" t="n">
        <x:v>74</x:v>
      </x:c>
      <x:c r="X61" s="11"/>
      <x:c r="Y61" s="7" t="str">
        <x:v>负责人评分</x:v>
      </x:c>
      <x:c r="Z61" s="7" t="n">
        <x:f>ROUND(H61*M61,2)</x:f>
        <x:v>62394.35</x:v>
      </x:c>
      <x:c r="AA61" s="7" t="n">
        <x:v>62394.35</x:v>
      </x:c>
      <x:c r="AB61" s="7" t="n">
        <x:v>97285.21</x:v>
      </x:c>
      <x:c r="AC61" s="10" t="n">
        <x:v>0.7135</x:v>
      </x:c>
      <x:c r="AD61" s="7" t="n">
        <x:f>ROUND(I61-AA61,2)</x:f>
        <x:v>0</x:v>
      </x:c>
      <x:c r="AE61" s="10" t="n">
        <x:f>ROUND(N61-AC61,6)</x:f>
        <x:v>0</x:v>
      </x:c>
    </x:row>
    <x:row r="62" ht="22" customHeight="1">
      <x:c r="A62" s="7" t="str">
        <x:v>QUARTER</x:v>
      </x:c>
      <x:c r="B62" s="7" t="str">
        <x:v>R2</x:v>
      </x:c>
      <x:c r="C62" s="7" t="str">
        <x:v>Q3</x:v>
      </x:c>
      <x:c r="D62" s="7" t="str">
        <x:v>D01</x:v>
      </x:c>
      <x:c r="E62" s="7" t="str">
        <x:v>G03</x:v>
      </x:c>
      <x:c r="F62" s="7" t="str">
        <x:v>E009</x:v>
      </x:c>
      <x:c r="G62" s="7" t="str">
        <x:v>样例员工09</x:v>
      </x:c>
      <x:c r="H62" s="7" t="n">
        <x:v>153795</x:v>
      </x:c>
      <x:c r="I62" s="7" t="n">
        <x:f>MAX(Z62-K62,0)</x:f>
        <x:v>58030.04</x:v>
      </x:c>
      <x:c r="J62" s="7" t="n">
        <x:f>H62-Z62</x:f>
        <x:v>95764.95999999999</x:v>
      </x:c>
      <x:c r="K62" s="7" t="n">
        <x:v>0</x:v>
      </x:c>
      <x:c r="L62" s="7" t="n">
        <x:f>MAX(K62-Z62,0)</x:f>
        <x:v>0</x:v>
      </x:c>
      <x:c r="M62" s="10" t="n">
        <x:f>IF(P62=0,0,MIN(Q62/P62,1))</x:f>
        <x:v>0.3773206885559452</x:v>
      </x:c>
      <x:c r="N62" s="10" t="n">
        <x:f>ROUND(MIN(R62,'参数'!$B$11)/'参数'!$B$11*'参数'!$B$2+S62/100*'参数'!$B$3+T62*'参数'!$B$4+U62*'参数'!$B$5+MIN(V62,'参数'!$B$12)/'参数'!$B$12*'参数'!$B$6+W62/100*'参数'!$B$7,'参数'!$B$13)</x:f>
        <x:v>0.741824</x:v>
      </x:c>
      <x:c r="O62" s="7"/>
      <x:c r="P62" s="7" t="n">
        <x:v>2070420</x:v>
      </x:c>
      <x:c r="Q62" s="7" t="n">
        <x:v>781212.3</x:v>
      </x:c>
      <x:c r="R62" s="11" t="n">
        <x:v>9</x:v>
      </x:c>
      <x:c r="S62" s="7" t="n">
        <x:v>67</x:v>
      </x:c>
      <x:c r="T62" s="10" t="n">
        <x:v>0.5760869565217391</x:v>
      </x:c>
      <x:c r="U62" s="10" t="n">
        <x:v>0.876368253968254</x:v>
      </x:c>
      <x:c r="V62" s="11" t="n">
        <x:v>5</x:v>
      </x:c>
      <x:c r="W62" s="11" t="n">
        <x:v>64</x:v>
      </x:c>
      <x:c r="X62" s="11"/>
      <x:c r="Y62" s="7" t="str">
        <x:v>负责人评分</x:v>
      </x:c>
      <x:c r="Z62" s="7" t="n">
        <x:f>ROUND(H62*M62,2)</x:f>
        <x:v>58030.04</x:v>
      </x:c>
      <x:c r="AA62" s="7" t="n">
        <x:v>58030.04</x:v>
      </x:c>
      <x:c r="AB62" s="7" t="n">
        <x:v>95764.96</x:v>
      </x:c>
      <x:c r="AC62" s="10" t="n">
        <x:v>0.741824</x:v>
      </x:c>
      <x:c r="AD62" s="7" t="n">
        <x:f>ROUND(I62-AA62,2)</x:f>
        <x:v>0</x:v>
      </x:c>
      <x:c r="AE62" s="10" t="n">
        <x:f>ROUND(N62-AC62,6)</x:f>
        <x:v>0</x:v>
      </x:c>
    </x:row>
    <x:row r="63" ht="22" customHeight="1">
      <x:c r="A63" s="7" t="str">
        <x:v>QUARTER</x:v>
      </x:c>
      <x:c r="B63" s="7" t="str">
        <x:v>R2</x:v>
      </x:c>
      <x:c r="C63" s="7" t="str">
        <x:v>Q3</x:v>
      </x:c>
      <x:c r="D63" s="7" t="str">
        <x:v>D01</x:v>
      </x:c>
      <x:c r="E63" s="7" t="str">
        <x:v>G03</x:v>
      </x:c>
      <x:c r="F63" s="7" t="str">
        <x:v>E010</x:v>
      </x:c>
      <x:c r="G63" s="7" t="str">
        <x:v>样例员工10</x:v>
      </x:c>
      <x:c r="H63" s="7" t="n">
        <x:v>153026.25</x:v>
      </x:c>
      <x:c r="I63" s="7" t="n">
        <x:f>MAX(Z63-K63,0)</x:f>
        <x:v>56358.91</x:v>
      </x:c>
      <x:c r="J63" s="7" t="n">
        <x:f>H63-Z63</x:f>
        <x:v>96667.34</x:v>
      </x:c>
      <x:c r="K63" s="7" t="n">
        <x:v>0</x:v>
      </x:c>
      <x:c r="L63" s="7" t="n">
        <x:f>MAX(K63-Z63,0)</x:f>
        <x:v>0</x:v>
      </x:c>
      <x:c r="M63" s="10" t="n">
        <x:f>IF(P63=0,0,MIN(Q63/P63,1))</x:f>
        <x:v>0.36829566926158264</x:v>
      </x:c>
      <x:c r="N63" s="10" t="n">
        <x:f>ROUND(MIN(R63,'参数'!$B$11)/'参数'!$B$11*'参数'!$B$2+S63/100*'参数'!$B$3+T63*'参数'!$B$4+U63*'参数'!$B$5+MIN(V63,'参数'!$B$12)/'参数'!$B$12*'参数'!$B$6+W63/100*'参数'!$B$7,'参数'!$B$13)</x:f>
        <x:v>0.738116</x:v>
      </x:c>
      <x:c r="O63" s="7"/>
      <x:c r="P63" s="7" t="n">
        <x:v>1455410</x:v>
      </x:c>
      <x:c r="Q63" s="7" t="n">
        <x:v>536021.2</x:v>
      </x:c>
      <x:c r="R63" s="11" t="n">
        <x:v>6</x:v>
      </x:c>
      <x:c r="S63" s="7" t="n">
        <x:v>79</x:v>
      </x:c>
      <x:c r="T63" s="10" t="n">
        <x:v>0.6666666666666666</x:v>
      </x:c>
      <x:c r="U63" s="10" t="n">
        <x:v>0.718720987654321</x:v>
      </x:c>
      <x:c r="V63" s="11" t="n">
        <x:v>5</x:v>
      </x:c>
      <x:c r="W63" s="11" t="n">
        <x:v>68</x:v>
      </x:c>
      <x:c r="X63" s="11"/>
      <x:c r="Y63" s="7" t="str">
        <x:v>负责人评分</x:v>
      </x:c>
      <x:c r="Z63" s="7" t="n">
        <x:f>ROUND(H63*M63,2)</x:f>
        <x:v>56358.91</x:v>
      </x:c>
      <x:c r="AA63" s="7" t="n">
        <x:v>56358.91</x:v>
      </x:c>
      <x:c r="AB63" s="7" t="n">
        <x:v>96667.34</x:v>
      </x:c>
      <x:c r="AC63" s="10" t="n">
        <x:v>0.738116</x:v>
      </x:c>
      <x:c r="AD63" s="7" t="n">
        <x:f>ROUND(I63-AA63,2)</x:f>
        <x:v>0</x:v>
      </x:c>
      <x:c r="AE63" s="10" t="n">
        <x:f>ROUND(N63-AC63,6)</x:f>
        <x:v>0</x:v>
      </x:c>
    </x:row>
    <x:row r="64" ht="22" customHeight="1">
      <x:c r="A64" s="7" t="str">
        <x:v>QUARTER</x:v>
      </x:c>
      <x:c r="B64" s="7" t="str">
        <x:v>R2</x:v>
      </x:c>
      <x:c r="C64" s="7" t="str">
        <x:v>Q3</x:v>
      </x:c>
      <x:c r="D64" s="7" t="str">
        <x:v>D01</x:v>
      </x:c>
      <x:c r="E64" s="7" t="str">
        <x:v>G03</x:v>
      </x:c>
      <x:c r="F64" s="7" t="str">
        <x:v>E011</x:v>
      </x:c>
      <x:c r="G64" s="7" t="str">
        <x:v>样例员工11</x:v>
      </x:c>
      <x:c r="H64" s="7" t="n">
        <x:v>160429.45</x:v>
      </x:c>
      <x:c r="I64" s="7" t="n">
        <x:f>MAX(Z64-K64,0)</x:f>
        <x:v>56473.33</x:v>
      </x:c>
      <x:c r="J64" s="7" t="n">
        <x:f>H64-Z64</x:f>
        <x:v>103956.12000000001</x:v>
      </x:c>
      <x:c r="K64" s="7" t="n">
        <x:v>0</x:v>
      </x:c>
      <x:c r="L64" s="7" t="n">
        <x:f>MAX(K64-Z64,0)</x:f>
        <x:v>0</x:v>
      </x:c>
      <x:c r="M64" s="10" t="n">
        <x:f>IF(P64=0,0,MIN(Q64/P64,1))</x:f>
        <x:v>0.3520134983127109</x:v>
      </x:c>
      <x:c r="N64" s="10" t="n">
        <x:f>ROUND(MIN(R64,'参数'!$B$11)/'参数'!$B$11*'参数'!$B$2+S64/100*'参数'!$B$3+T64*'参数'!$B$4+U64*'参数'!$B$5+MIN(V64,'参数'!$B$12)/'参数'!$B$12*'参数'!$B$6+W64/100*'参数'!$B$7,'参数'!$B$13)</x:f>
        <x:v>0.773825</x:v>
      </x:c>
      <x:c r="O64" s="7"/>
      <x:c r="P64" s="7" t="n">
        <x:v>1173480</x:v>
      </x:c>
      <x:c r="Q64" s="7" t="n">
        <x:v>413080.8</x:v>
      </x:c>
      <x:c r="R64" s="11" t="n">
        <x:v>3</x:v>
      </x:c>
      <x:c r="S64" s="7" t="n">
        <x:v>71</x:v>
      </x:c>
      <x:c r="T64" s="10" t="n">
        <x:v>0.8103448275862069</x:v>
      </x:c>
      <x:c r="U64" s="10" t="n">
        <x:v>0.8692444444444445</x:v>
      </x:c>
      <x:c r="V64" s="11" t="n">
        <x:v>4</x:v>
      </x:c>
      <x:c r="W64" s="11" t="n">
        <x:v>93</x:v>
      </x:c>
      <x:c r="X64" s="11"/>
      <x:c r="Y64" s="7" t="str">
        <x:v>负责人评分</x:v>
      </x:c>
      <x:c r="Z64" s="7" t="n">
        <x:f>ROUND(H64*M64,2)</x:f>
        <x:v>56473.33</x:v>
      </x:c>
      <x:c r="AA64" s="7" t="n">
        <x:v>56473.33</x:v>
      </x:c>
      <x:c r="AB64" s="7" t="n">
        <x:v>103956.12</x:v>
      </x:c>
      <x:c r="AC64" s="10" t="n">
        <x:v>0.773825</x:v>
      </x:c>
      <x:c r="AD64" s="7" t="n">
        <x:f>ROUND(I64-AA64,2)</x:f>
        <x:v>0</x:v>
      </x:c>
      <x:c r="AE64" s="10" t="n">
        <x:f>ROUND(N64-AC64,6)</x:f>
        <x:v>0</x:v>
      </x:c>
    </x:row>
    <x:row r="65" ht="22" customHeight="1">
      <x:c r="A65" s="7" t="str">
        <x:v>QUARTER</x:v>
      </x:c>
      <x:c r="B65" s="7" t="str">
        <x:v>R2</x:v>
      </x:c>
      <x:c r="C65" s="7" t="str">
        <x:v>Q3</x:v>
      </x:c>
      <x:c r="D65" s="7" t="str">
        <x:v>D01</x:v>
      </x:c>
      <x:c r="E65" s="7" t="str">
        <x:v>G03</x:v>
      </x:c>
      <x:c r="F65" s="7" t="str">
        <x:v>E012</x:v>
      </x:c>
      <x:c r="G65" s="7" t="str">
        <x:v>样例员工12</x:v>
      </x:c>
      <x:c r="H65" s="7" t="n">
        <x:v>139008.1</x:v>
      </x:c>
      <x:c r="I65" s="7" t="n">
        <x:f>MAX(Z65-K65,0)</x:f>
        <x:v>47668.83</x:v>
      </x:c>
      <x:c r="J65" s="7" t="n">
        <x:f>H65-Z65</x:f>
        <x:v>91339.27</x:v>
      </x:c>
      <x:c r="K65" s="7" t="n">
        <x:v>0</x:v>
      </x:c>
      <x:c r="L65" s="7" t="n">
        <x:f>MAX(K65-Z65,0)</x:f>
        <x:v>0</x:v>
      </x:c>
      <x:c r="M65" s="10" t="n">
        <x:f>IF(P65=0,0,MIN(Q65/P65,1))</x:f>
        <x:v>0.3429212401309455</x:v>
      </x:c>
      <x:c r="N65" s="10" t="n">
        <x:f>ROUND(MIN(R65,'参数'!$B$11)/'参数'!$B$11*'参数'!$B$2+S65/100*'参数'!$B$3+T65*'参数'!$B$4+U65*'参数'!$B$5+MIN(V65,'参数'!$B$12)/'参数'!$B$12*'参数'!$B$6+W65/100*'参数'!$B$7,'参数'!$B$13)</x:f>
        <x:v>0.6705</x:v>
      </x:c>
      <x:c r="O65" s="7"/>
      <x:c r="P65" s="7" t="n">
        <x:v>1713690</x:v>
      </x:c>
      <x:c r="Q65" s="7" t="n">
        <x:v>587660.7</x:v>
      </x:c>
      <x:c r="R65" s="11" t="n">
        <x:v>0</x:v>
      </x:c>
      <x:c r="S65" s="7" t="n">
        <x:v>60</x:v>
      </x:c>
      <x:c r="T65" s="10" t="n">
        <x:v>0.6666666666666666</x:v>
      </x:c>
      <x:c r="U65" s="10" t="n">
        <x:v>1</x:v>
      </x:c>
      <x:c r="V65" s="11" t="n">
        <x:v>4</x:v>
      </x:c>
      <x:c r="W65" s="11" t="n">
        <x:v>67</x:v>
      </x:c>
      <x:c r="X65" s="11"/>
      <x:c r="Y65" s="7" t="str">
        <x:v>负责人评分</x:v>
      </x:c>
      <x:c r="Z65" s="7" t="n">
        <x:f>ROUND(H65*M65,2)</x:f>
        <x:v>47668.83</x:v>
      </x:c>
      <x:c r="AA65" s="7" t="n">
        <x:v>47668.83</x:v>
      </x:c>
      <x:c r="AB65" s="7" t="n">
        <x:v>91339.27</x:v>
      </x:c>
      <x:c r="AC65" s="10" t="n">
        <x:v>0.6705</x:v>
      </x:c>
      <x:c r="AD65" s="7" t="n">
        <x:f>ROUND(I65-AA65,2)</x:f>
        <x:v>0</x:v>
      </x:c>
      <x:c r="AE65" s="10" t="n">
        <x:f>ROUND(N65-AC65,6)</x:f>
        <x:v>0</x:v>
      </x:c>
    </x:row>
    <x:row r="66" ht="22" customHeight="1">
      <x:c r="A66" s="7" t="str">
        <x:v>QUARTER</x:v>
      </x:c>
      <x:c r="B66" s="7" t="str">
        <x:v>R2</x:v>
      </x:c>
      <x:c r="C66" s="7" t="str">
        <x:v>Q3</x:v>
      </x:c>
      <x:c r="D66" s="7" t="str">
        <x:v>D02</x:v>
      </x:c>
      <x:c r="E66" s="7" t="str">
        <x:v>G04</x:v>
      </x:c>
      <x:c r="F66" s="7" t="str">
        <x:v>E013</x:v>
      </x:c>
      <x:c r="G66" s="7" t="str">
        <x:v>样例员工13</x:v>
      </x:c>
      <x:c r="H66" s="7" t="n">
        <x:v>147095.47</x:v>
      </x:c>
      <x:c r="I66" s="7" t="n">
        <x:f>MAX(Z66-K66,0)</x:f>
        <x:v>57734.51</x:v>
      </x:c>
      <x:c r="J66" s="7" t="n">
        <x:f>H66-Z66</x:f>
        <x:v>89360.95999999999</x:v>
      </x:c>
      <x:c r="K66" s="7" t="n">
        <x:v>0</x:v>
      </x:c>
      <x:c r="L66" s="7" t="n">
        <x:f>MAX(K66-Z66,0)</x:f>
        <x:v>0</x:v>
      </x:c>
      <x:c r="M66" s="10" t="n">
        <x:f>IF(P66=0,0,MIN(Q66/P66,1))</x:f>
        <x:v>0.3924968890962825</x:v>
      </x:c>
      <x:c r="N66" s="10" t="n">
        <x:f>ROUND(MIN(R66,'参数'!$B$11)/'参数'!$B$11*'参数'!$B$2+S66/100*'参数'!$B$3+T66*'参数'!$B$4+U66*'参数'!$B$5+MIN(V66,'参数'!$B$12)/'参数'!$B$12*'参数'!$B$6+W66/100*'参数'!$B$7,'参数'!$B$13)</x:f>
        <x:v>0.690214</x:v>
      </x:c>
      <x:c r="O66" s="7"/>
      <x:c r="P66" s="7" t="n">
        <x:v>1414380</x:v>
      </x:c>
      <x:c r="Q66" s="7" t="n">
        <x:v>555139.75</x:v>
      </x:c>
      <x:c r="R66" s="11" t="n">
        <x:v>9</x:v>
      </x:c>
      <x:c r="S66" s="7" t="n">
        <x:v>96</x:v>
      </x:c>
      <x:c r="T66" s="10" t="n">
        <x:v>0.807909604519774</x:v>
      </x:c>
      <x:c r="U66" s="10" t="n">
        <x:v>0.33675714285714287</x:v>
      </x:c>
      <x:c r="V66" s="11" t="n">
        <x:v>4</x:v>
      </x:c>
      <x:c r="W66" s="11" t="n">
        <x:v>84</x:v>
      </x:c>
      <x:c r="X66" s="11"/>
      <x:c r="Y66" s="7" t="str">
        <x:v>负责人评分</x:v>
      </x:c>
      <x:c r="Z66" s="7" t="n">
        <x:f>ROUND(H66*M66,2)</x:f>
        <x:v>57734.51</x:v>
      </x:c>
      <x:c r="AA66" s="7" t="n">
        <x:v>57734.51</x:v>
      </x:c>
      <x:c r="AB66" s="7" t="n">
        <x:v>89360.96</x:v>
      </x:c>
      <x:c r="AC66" s="10" t="n">
        <x:v>0.690214</x:v>
      </x:c>
      <x:c r="AD66" s="7" t="n">
        <x:f>ROUND(I66-AA66,2)</x:f>
        <x:v>0</x:v>
      </x:c>
      <x:c r="AE66" s="10" t="n">
        <x:f>ROUND(N66-AC66,6)</x:f>
        <x:v>0</x:v>
      </x:c>
    </x:row>
    <x:row r="67" ht="22" customHeight="1">
      <x:c r="A67" s="7" t="str">
        <x:v>QUARTER</x:v>
      </x:c>
      <x:c r="B67" s="7" t="str">
        <x:v>R2</x:v>
      </x:c>
      <x:c r="C67" s="7" t="str">
        <x:v>Q3</x:v>
      </x:c>
      <x:c r="D67" s="7" t="str">
        <x:v>D02</x:v>
      </x:c>
      <x:c r="E67" s="7" t="str">
        <x:v>G04</x:v>
      </x:c>
      <x:c r="F67" s="7" t="str">
        <x:v>E014</x:v>
      </x:c>
      <x:c r="G67" s="7" t="str">
        <x:v>样例员工14</x:v>
      </x:c>
      <x:c r="H67" s="7" t="n">
        <x:v>139092.77</x:v>
      </x:c>
      <x:c r="I67" s="7" t="n">
        <x:f>MAX(Z67-K67,0)</x:f>
        <x:v>48765.48</x:v>
      </x:c>
      <x:c r="J67" s="7" t="n">
        <x:f>H67-Z67</x:f>
        <x:v>90327.28999999998</x:v>
      </x:c>
      <x:c r="K67" s="7" t="n">
        <x:v>0</x:v>
      </x:c>
      <x:c r="L67" s="7" t="n">
        <x:f>MAX(K67-Z67,0)</x:f>
        <x:v>0</x:v>
      </x:c>
      <x:c r="M67" s="10" t="n">
        <x:f>IF(P67=0,0,MIN(Q67/P67,1))</x:f>
        <x:v>0.35059681247880636</x:v>
      </x:c>
      <x:c r="N67" s="10" t="n">
        <x:f>ROUND(MIN(R67,'参数'!$B$11)/'参数'!$B$11*'参数'!$B$2+S67/100*'参数'!$B$3+T67*'参数'!$B$4+U67*'参数'!$B$5+MIN(V67,'参数'!$B$12)/'参数'!$B$12*'参数'!$B$6+W67/100*'参数'!$B$7,'参数'!$B$13)</x:f>
        <x:v>0.652663</x:v>
      </x:c>
      <x:c r="O67" s="7"/>
      <x:c r="P67" s="7" t="n">
        <x:v>1621950</x:v>
      </x:c>
      <x:c r="Q67" s="7" t="n">
        <x:v>568650.5</x:v>
      </x:c>
      <x:c r="R67" s="11" t="n">
        <x:v>6</x:v>
      </x:c>
      <x:c r="S67" s="7" t="n">
        <x:v>82</x:v>
      </x:c>
      <x:c r="T67" s="10" t="n">
        <x:v>0.6666666666666666</x:v>
      </x:c>
      <x:c r="U67" s="10" t="n">
        <x:v>0.4505416666666667</x:v>
      </x:c>
      <x:c r="V67" s="11" t="n">
        <x:v>4</x:v>
      </x:c>
      <x:c r="W67" s="11" t="n">
        <x:v>69</x:v>
      </x:c>
      <x:c r="X67" s="11"/>
      <x:c r="Y67" s="7" t="str">
        <x:v>负责人评分</x:v>
      </x:c>
      <x:c r="Z67" s="7" t="n">
        <x:f>ROUND(H67*M67,2)</x:f>
        <x:v>48765.48</x:v>
      </x:c>
      <x:c r="AA67" s="7" t="n">
        <x:v>48765.48</x:v>
      </x:c>
      <x:c r="AB67" s="7" t="n">
        <x:v>90327.29</x:v>
      </x:c>
      <x:c r="AC67" s="10" t="n">
        <x:v>0.652663</x:v>
      </x:c>
      <x:c r="AD67" s="7" t="n">
        <x:f>ROUND(I67-AA67,2)</x:f>
        <x:v>0</x:v>
      </x:c>
      <x:c r="AE67" s="10" t="n">
        <x:f>ROUND(N67-AC67,6)</x:f>
        <x:v>0</x:v>
      </x:c>
    </x:row>
    <x:row r="68" ht="22" customHeight="1">
      <x:c r="A68" s="7" t="str">
        <x:v>QUARTER</x:v>
      </x:c>
      <x:c r="B68" s="7" t="str">
        <x:v>R2</x:v>
      </x:c>
      <x:c r="C68" s="7" t="str">
        <x:v>Q3</x:v>
      </x:c>
      <x:c r="D68" s="7" t="str">
        <x:v>D02</x:v>
      </x:c>
      <x:c r="E68" s="7" t="str">
        <x:v>G04</x:v>
      </x:c>
      <x:c r="F68" s="7" t="str">
        <x:v>E015</x:v>
      </x:c>
      <x:c r="G68" s="7" t="str">
        <x:v>样例员工15</x:v>
      </x:c>
      <x:c r="H68" s="7" t="n">
        <x:v>169968.34</x:v>
      </x:c>
      <x:c r="I68" s="7" t="n">
        <x:f>MAX(Z68-K68,0)</x:f>
        <x:v>63132.06</x:v>
      </x:c>
      <x:c r="J68" s="7" t="n">
        <x:f>H68-Z68</x:f>
        <x:v>106836.28</x:v>
      </x:c>
      <x:c r="K68" s="7" t="n">
        <x:v>0</x:v>
      </x:c>
      <x:c r="L68" s="7" t="n">
        <x:f>MAX(K68-Z68,0)</x:f>
        <x:v>0</x:v>
      </x:c>
      <x:c r="M68" s="10" t="n">
        <x:f>IF(P68=0,0,MIN(Q68/P68,1))</x:f>
        <x:v>0.37143422377823604</x:v>
      </x:c>
      <x:c r="N68" s="10" t="n">
        <x:f>ROUND(MIN(R68,'参数'!$B$11)/'参数'!$B$11*'参数'!$B$2+S68/100*'参数'!$B$3+T68*'参数'!$B$4+U68*'参数'!$B$5+MIN(V68,'参数'!$B$12)/'参数'!$B$12*'参数'!$B$6+W68/100*'参数'!$B$7,'参数'!$B$13)</x:f>
        <x:v>0.79754</x:v>
      </x:c>
      <x:c r="O68" s="7"/>
      <x:c r="P68" s="7" t="n">
        <x:v>2293610</x:v>
      </x:c>
      <x:c r="Q68" s="7" t="n">
        <x:v>851925.25</x:v>
      </x:c>
      <x:c r="R68" s="11" t="n">
        <x:v>3</x:v>
      </x:c>
      <x:c r="S68" s="7" t="n">
        <x:v>85</x:v>
      </x:c>
      <x:c r="T68" s="10" t="n">
        <x:v>0.575591985428051</x:v>
      </x:c>
      <x:c r="U68" s="10" t="n">
        <x:v>0.9556708333333334</x:v>
      </x:c>
      <x:c r="V68" s="11" t="n">
        <x:v>5</x:v>
      </x:c>
      <x:c r="W68" s="11" t="n">
        <x:v>88</x:v>
      </x:c>
      <x:c r="X68" s="11"/>
      <x:c r="Y68" s="7" t="str">
        <x:v>负责人评分</x:v>
      </x:c>
      <x:c r="Z68" s="7" t="n">
        <x:f>ROUND(H68*M68,2)</x:f>
        <x:v>63132.06</x:v>
      </x:c>
      <x:c r="AA68" s="7" t="n">
        <x:v>63132.06</x:v>
      </x:c>
      <x:c r="AB68" s="7" t="n">
        <x:v>106836.28</x:v>
      </x:c>
      <x:c r="AC68" s="10" t="n">
        <x:v>0.79754</x:v>
      </x:c>
      <x:c r="AD68" s="7" t="n">
        <x:f>ROUND(I68-AA68,2)</x:f>
        <x:v>0</x:v>
      </x:c>
      <x:c r="AE68" s="10" t="n">
        <x:f>ROUND(N68-AC68,6)</x:f>
        <x:v>0</x:v>
      </x:c>
    </x:row>
    <x:row r="69" ht="22" customHeight="1">
      <x:c r="A69" s="7" t="str">
        <x:v>QUARTER</x:v>
      </x:c>
      <x:c r="B69" s="7" t="str">
        <x:v>R2</x:v>
      </x:c>
      <x:c r="C69" s="7" t="str">
        <x:v>Q3</x:v>
      </x:c>
      <x:c r="D69" s="7" t="str">
        <x:v>D02</x:v>
      </x:c>
      <x:c r="E69" s="7" t="str">
        <x:v>G04</x:v>
      </x:c>
      <x:c r="F69" s="7" t="str">
        <x:v>E016</x:v>
      </x:c>
      <x:c r="G69" s="7" t="str">
        <x:v>样例员工16</x:v>
      </x:c>
      <x:c r="H69" s="7" t="n">
        <x:v>146517.08</x:v>
      </x:c>
      <x:c r="I69" s="7" t="n">
        <x:f>MAX(Z69-K69,0)</x:f>
        <x:v>57906.66</x:v>
      </x:c>
      <x:c r="J69" s="7" t="n">
        <x:f>H69-Z69</x:f>
        <x:v>88610.41999999998</x:v>
      </x:c>
      <x:c r="K69" s="7" t="n">
        <x:v>0</x:v>
      </x:c>
      <x:c r="L69" s="7" t="n">
        <x:f>MAX(K69-Z69,0)</x:f>
        <x:v>0</x:v>
      </x:c>
      <x:c r="M69" s="10" t="n">
        <x:f>IF(P69=0,0,MIN(Q69/P69,1))</x:f>
        <x:v>0.3952212343636928</x:v>
      </x:c>
      <x:c r="N69" s="10" t="n">
        <x:f>ROUND(MIN(R69,'参数'!$B$11)/'参数'!$B$11*'参数'!$B$2+S69/100*'参数'!$B$3+T69*'参数'!$B$4+U69*'参数'!$B$5+MIN(V69,'参数'!$B$12)/'参数'!$B$12*'参数'!$B$6+W69/100*'参数'!$B$7,'参数'!$B$13)</x:f>
        <x:v>0.6875</x:v>
      </x:c>
      <x:c r="O69" s="7"/>
      <x:c r="P69" s="7" t="n">
        <x:v>2128060</x:v>
      </x:c>
      <x:c r="Q69" s="7" t="n">
        <x:v>841054.5</x:v>
      </x:c>
      <x:c r="R69" s="11" t="n">
        <x:v>0</x:v>
      </x:c>
      <x:c r="S69" s="7" t="n">
        <x:v>63</x:v>
      </x:c>
      <x:c r="T69" s="10" t="n">
        <x:v>0.6666666666666666</x:v>
      </x:c>
      <x:c r="U69" s="10" t="n">
        <x:v>1</x:v>
      </x:c>
      <x:c r="V69" s="11" t="n">
        <x:v>5</x:v>
      </x:c>
      <x:c r="W69" s="11" t="n">
        <x:v>66</x:v>
      </x:c>
      <x:c r="X69" s="11"/>
      <x:c r="Y69" s="7" t="str">
        <x:v>负责人评分</x:v>
      </x:c>
      <x:c r="Z69" s="7" t="n">
        <x:f>ROUND(H69*M69,2)</x:f>
        <x:v>57906.66</x:v>
      </x:c>
      <x:c r="AA69" s="7" t="n">
        <x:v>57906.66</x:v>
      </x:c>
      <x:c r="AB69" s="7" t="n">
        <x:v>88610.42</x:v>
      </x:c>
      <x:c r="AC69" s="10" t="n">
        <x:v>0.6875</x:v>
      </x:c>
      <x:c r="AD69" s="7" t="n">
        <x:f>ROUND(I69-AA69,2)</x:f>
        <x:v>0</x:v>
      </x:c>
      <x:c r="AE69" s="10" t="n">
        <x:f>ROUND(N69-AC69,6)</x:f>
        <x:v>0</x:v>
      </x:c>
    </x:row>
    <x:row r="70" ht="22" customHeight="1">
      <x:c r="A70" s="7" t="str">
        <x:v>QUARTER</x:v>
      </x:c>
      <x:c r="B70" s="7" t="str">
        <x:v>R2</x:v>
      </x:c>
      <x:c r="C70" s="7" t="str">
        <x:v>Q3</x:v>
      </x:c>
      <x:c r="D70" s="7" t="str">
        <x:v>D02</x:v>
      </x:c>
      <x:c r="E70" s="7" t="str">
        <x:v>G05</x:v>
      </x:c>
      <x:c r="F70" s="7" t="str">
        <x:v>E017</x:v>
      </x:c>
      <x:c r="G70" s="7" t="str">
        <x:v>样例员工17</x:v>
      </x:c>
      <x:c r="H70" s="7" t="n">
        <x:v>114468.78</x:v>
      </x:c>
      <x:c r="I70" s="7" t="n">
        <x:f>MAX(Z70-K70,0)</x:f>
        <x:v>44228.57</x:v>
      </x:c>
      <x:c r="J70" s="7" t="n">
        <x:f>H70-Z70</x:f>
        <x:v>70240.20999999999</x:v>
      </x:c>
      <x:c r="K70" s="7" t="n">
        <x:v>0</x:v>
      </x:c>
      <x:c r="L70" s="7" t="n">
        <x:f>MAX(K70-Z70,0)</x:f>
        <x:v>0</x:v>
      </x:c>
      <x:c r="M70" s="10" t="n">
        <x:f>IF(P70=0,0,MIN(Q70/P70,1))</x:f>
        <x:v>0.3863811161481944</x:v>
      </x:c>
      <x:c r="N70" s="10" t="n">
        <x:f>ROUND(MIN(R70,'参数'!$B$11)/'参数'!$B$11*'参数'!$B$2+S70/100*'参数'!$B$3+T70*'参数'!$B$4+U70*'参数'!$B$5+MIN(V70,'参数'!$B$12)/'参数'!$B$12*'参数'!$B$6+W70/100*'参数'!$B$7,'参数'!$B$13)</x:f>
        <x:v>0.641298</x:v>
      </x:c>
      <x:c r="O70" s="7"/>
      <x:c r="P70" s="7" t="n">
        <x:v>1407340</x:v>
      </x:c>
      <x:c r="Q70" s="7" t="n">
        <x:v>543769.6</x:v>
      </x:c>
      <x:c r="R70" s="11" t="n">
        <x:v>9</x:v>
      </x:c>
      <x:c r="S70" s="7" t="n">
        <x:v>84</x:v>
      </x:c>
      <x:c r="T70" s="10" t="n">
        <x:v>0.5760869565217391</x:v>
      </x:c>
      <x:c r="U70" s="10" t="n">
        <x:v>0.3829496598639456</x:v>
      </x:c>
      <x:c r="V70" s="11" t="n">
        <x:v>5</x:v>
      </x:c>
      <x:c r="W70" s="11" t="n">
        <x:v>73</x:v>
      </x:c>
      <x:c r="X70" s="11"/>
      <x:c r="Y70" s="7" t="str">
        <x:v>负责人评分</x:v>
      </x:c>
      <x:c r="Z70" s="7" t="n">
        <x:f>ROUND(H70*M70,2)</x:f>
        <x:v>44228.57</x:v>
      </x:c>
      <x:c r="AA70" s="7" t="n">
        <x:v>44228.57</x:v>
      </x:c>
      <x:c r="AB70" s="7" t="n">
        <x:v>70240.21</x:v>
      </x:c>
      <x:c r="AC70" s="10" t="n">
        <x:v>0.641298</x:v>
      </x:c>
      <x:c r="AD70" s="7" t="n">
        <x:f>ROUND(I70-AA70,2)</x:f>
        <x:v>0</x:v>
      </x:c>
      <x:c r="AE70" s="10" t="n">
        <x:f>ROUND(N70-AC70,6)</x:f>
        <x:v>0</x:v>
      </x:c>
    </x:row>
    <x:row r="71" ht="22" customHeight="1">
      <x:c r="A71" s="7" t="str">
        <x:v>QUARTER</x:v>
      </x:c>
      <x:c r="B71" s="7" t="str">
        <x:v>R2</x:v>
      </x:c>
      <x:c r="C71" s="7" t="str">
        <x:v>Q3</x:v>
      </x:c>
      <x:c r="D71" s="7" t="str">
        <x:v>D02</x:v>
      </x:c>
      <x:c r="E71" s="7" t="str">
        <x:v>G05</x:v>
      </x:c>
      <x:c r="F71" s="7" t="str">
        <x:v>E018</x:v>
      </x:c>
      <x:c r="G71" s="7" t="str">
        <x:v>样例员工18</x:v>
      </x:c>
      <x:c r="H71" s="7" t="n">
        <x:v>118685.55</x:v>
      </x:c>
      <x:c r="I71" s="7" t="n">
        <x:f>MAX(Z71-K71,0)</x:f>
        <x:v>44974.27</x:v>
      </x:c>
      <x:c r="J71" s="7" t="n">
        <x:f>H71-Z71</x:f>
        <x:v>73711.28</x:v>
      </x:c>
      <x:c r="K71" s="7" t="n">
        <x:v>0</x:v>
      </x:c>
      <x:c r="L71" s="7" t="n">
        <x:f>MAX(K71-Z71,0)</x:f>
        <x:v>0</x:v>
      </x:c>
      <x:c r="M71" s="10" t="n">
        <x:f>IF(P71=0,0,MIN(Q71/P71,1))</x:f>
        <x:v>0.37893638081526143</x:v>
      </x:c>
      <x:c r="N71" s="10" t="n">
        <x:f>ROUND(MIN(R71,'参数'!$B$11)/'参数'!$B$11*'参数'!$B$2+S71/100*'参数'!$B$3+T71*'参数'!$B$4+U71*'参数'!$B$5+MIN(V71,'参数'!$B$12)/'参数'!$B$12*'参数'!$B$6+W71/100*'参数'!$B$7,'参数'!$B$13)</x:f>
        <x:v>0.664922</x:v>
      </x:c>
      <x:c r="O71" s="7"/>
      <x:c r="P71" s="7" t="n">
        <x:v>1222430</x:v>
      </x:c>
      <x:c r="Q71" s="7" t="n">
        <x:v>463223.2</x:v>
      </x:c>
      <x:c r="R71" s="11" t="n">
        <x:v>6</x:v>
      </x:c>
      <x:c r="S71" s="7" t="n">
        <x:v>77</x:v>
      </x:c>
      <x:c r="T71" s="10" t="n">
        <x:v>0.6666666666666666</x:v>
      </x:c>
      <x:c r="U71" s="10" t="n">
        <x:v>0.38807301587301585</x:v>
      </x:c>
      <x:c r="V71" s="11" t="n">
        <x:v>5</x:v>
      </x:c>
      <x:c r="W71" s="11" t="n">
        <x:v>88</x:v>
      </x:c>
      <x:c r="X71" s="11"/>
      <x:c r="Y71" s="7" t="str">
        <x:v>负责人评分</x:v>
      </x:c>
      <x:c r="Z71" s="7" t="n">
        <x:f>ROUND(H71*M71,2)</x:f>
        <x:v>44974.27</x:v>
      </x:c>
      <x:c r="AA71" s="7" t="n">
        <x:v>44974.27</x:v>
      </x:c>
      <x:c r="AB71" s="7" t="n">
        <x:v>73711.28</x:v>
      </x:c>
      <x:c r="AC71" s="10" t="n">
        <x:v>0.664922</x:v>
      </x:c>
      <x:c r="AD71" s="7" t="n">
        <x:f>ROUND(I71-AA71,2)</x:f>
        <x:v>0</x:v>
      </x:c>
      <x:c r="AE71" s="10" t="n">
        <x:f>ROUND(N71-AC71,6)</x:f>
        <x:v>0</x:v>
      </x:c>
    </x:row>
    <x:row r="72" ht="22" customHeight="1">
      <x:c r="A72" s="7" t="str">
        <x:v>QUARTER</x:v>
      </x:c>
      <x:c r="B72" s="7" t="str">
        <x:v>R2</x:v>
      </x:c>
      <x:c r="C72" s="7" t="str">
        <x:v>Q3</x:v>
      </x:c>
      <x:c r="D72" s="7" t="str">
        <x:v>D02</x:v>
      </x:c>
      <x:c r="E72" s="7" t="str">
        <x:v>G05</x:v>
      </x:c>
      <x:c r="F72" s="7" t="str">
        <x:v>E019</x:v>
      </x:c>
      <x:c r="G72" s="7" t="str">
        <x:v>样例员工19</x:v>
      </x:c>
      <x:c r="H72" s="7" t="n">
        <x:v>119678.52</x:v>
      </x:c>
      <x:c r="I72" s="7" t="n">
        <x:f>MAX(Z72-K72,0)</x:f>
        <x:v>42375.04</x:v>
      </x:c>
      <x:c r="J72" s="7" t="n">
        <x:f>H72-Z72</x:f>
        <x:v>77303.48000000001</x:v>
      </x:c>
      <x:c r="K72" s="7" t="n">
        <x:v>0</x:v>
      </x:c>
      <x:c r="L72" s="7" t="n">
        <x:f>MAX(K72-Z72,0)</x:f>
        <x:v>0</x:v>
      </x:c>
      <x:c r="M72" s="10" t="n">
        <x:f>IF(P72=0,0,MIN(Q72/P72,1))</x:f>
        <x:v>0.3540738846989646</x:v>
      </x:c>
      <x:c r="N72" s="10" t="n">
        <x:f>ROUND(MIN(R72,'参数'!$B$11)/'参数'!$B$11*'参数'!$B$2+S72/100*'参数'!$B$3+T72*'参数'!$B$4+U72*'参数'!$B$5+MIN(V72,'参数'!$B$12)/'参数'!$B$12*'参数'!$B$6+W72/100*'参数'!$B$7,'参数'!$B$13)</x:f>
        <x:v>0.670485</x:v>
      </x:c>
      <x:c r="O72" s="7"/>
      <x:c r="P72" s="7" t="n">
        <x:v>860530</x:v>
      </x:c>
      <x:c r="Q72" s="7" t="n">
        <x:v>304691.2</x:v>
      </x:c>
      <x:c r="R72" s="11" t="n">
        <x:v>3</x:v>
      </x:c>
      <x:c r="S72" s="7" t="n">
        <x:v>95</x:v>
      </x:c>
      <x:c r="T72" s="10" t="n">
        <x:v>0.8103448275862069</x:v>
      </x:c>
      <x:c r="U72" s="10" t="n">
        <x:v>0.40977619047619046</x:v>
      </x:c>
      <x:c r="V72" s="11" t="n">
        <x:v>4</x:v>
      </x:c>
      <x:c r="W72" s="11" t="n">
        <x:v>84</x:v>
      </x:c>
      <x:c r="X72" s="11"/>
      <x:c r="Y72" s="7" t="str">
        <x:v>负责人评分</x:v>
      </x:c>
      <x:c r="Z72" s="7" t="n">
        <x:f>ROUND(H72*M72,2)</x:f>
        <x:v>42375.04</x:v>
      </x:c>
      <x:c r="AA72" s="7" t="n">
        <x:v>42375.04</x:v>
      </x:c>
      <x:c r="AB72" s="7" t="n">
        <x:v>77303.48</x:v>
      </x:c>
      <x:c r="AC72" s="10" t="n">
        <x:v>0.670485</x:v>
      </x:c>
      <x:c r="AD72" s="7" t="n">
        <x:f>ROUND(I72-AA72,2)</x:f>
        <x:v>0</x:v>
      </x:c>
      <x:c r="AE72" s="10" t="n">
        <x:f>ROUND(N72-AC72,6)</x:f>
        <x:v>0</x:v>
      </x:c>
    </x:row>
    <x:row r="73" ht="22" customHeight="1">
      <x:c r="A73" s="7" t="str">
        <x:v>QUARTER</x:v>
      </x:c>
      <x:c r="B73" s="7" t="str">
        <x:v>R2</x:v>
      </x:c>
      <x:c r="C73" s="7" t="str">
        <x:v>Q3</x:v>
      </x:c>
      <x:c r="D73" s="7" t="str">
        <x:v>D02</x:v>
      </x:c>
      <x:c r="E73" s="7" t="str">
        <x:v>G05</x:v>
      </x:c>
      <x:c r="F73" s="7" t="str">
        <x:v>E020</x:v>
      </x:c>
      <x:c r="G73" s="7" t="str">
        <x:v>样例员工20</x:v>
      </x:c>
      <x:c r="H73" s="7" t="n">
        <x:v>110027.99</x:v>
      </x:c>
      <x:c r="I73" s="7" t="n">
        <x:f>MAX(Z73-K73,0)</x:f>
        <x:v>37988.12</x:v>
      </x:c>
      <x:c r="J73" s="7" t="n">
        <x:f>H73-Z73</x:f>
        <x:v>72039.87</x:v>
      </x:c>
      <x:c r="K73" s="7" t="n">
        <x:v>0</x:v>
      </x:c>
      <x:c r="L73" s="7" t="n">
        <x:f>MAX(K73-Z73,0)</x:f>
        <x:v>0</x:v>
      </x:c>
      <x:c r="M73" s="10" t="n">
        <x:f>IF(P73=0,0,MIN(Q73/P73,1))</x:f>
        <x:v>0.3452587117212249</x:v>
      </x:c>
      <x:c r="N73" s="10" t="n">
        <x:f>ROUND(MIN(R73,'参数'!$B$11)/'参数'!$B$11*'参数'!$B$2+S73/100*'参数'!$B$3+T73*'参数'!$B$4+U73*'参数'!$B$5+MIN(V73,'参数'!$B$12)/'参数'!$B$12*'参数'!$B$6+W73/100*'参数'!$B$7,'参数'!$B$13)</x:f>
        <x:v>0.616419</x:v>
      </x:c>
      <x:c r="O73" s="7"/>
      <x:c r="P73" s="7" t="n">
        <x:v>1041700</x:v>
      </x:c>
      <x:c r="Q73" s="7" t="n">
        <x:v>359656</x:v>
      </x:c>
      <x:c r="R73" s="11" t="n">
        <x:v>0</x:v>
      </x:c>
      <x:c r="S73" s="7" t="n">
        <x:v>74</x:v>
      </x:c>
      <x:c r="T73" s="10" t="n">
        <x:v>0.6666666666666666</x:v>
      </x:c>
      <x:c r="U73" s="10" t="n">
        <x:v>0.6613968253968254</x:v>
      </x:c>
      <x:c r="V73" s="11" t="n">
        <x:v>4</x:v>
      </x:c>
      <x:c r="W73" s="11" t="n">
        <x:v>80</x:v>
      </x:c>
      <x:c r="X73" s="11"/>
      <x:c r="Y73" s="7" t="str">
        <x:v>负责人评分</x:v>
      </x:c>
      <x:c r="Z73" s="7" t="n">
        <x:f>ROUND(H73*M73,2)</x:f>
        <x:v>37988.12</x:v>
      </x:c>
      <x:c r="AA73" s="7" t="n">
        <x:v>37988.12</x:v>
      </x:c>
      <x:c r="AB73" s="7" t="n">
        <x:v>72039.87</x:v>
      </x:c>
      <x:c r="AC73" s="10" t="n">
        <x:v>0.616419</x:v>
      </x:c>
      <x:c r="AD73" s="7" t="n">
        <x:f>ROUND(I73-AA73,2)</x:f>
        <x:v>0</x:v>
      </x:c>
      <x:c r="AE73" s="10" t="n">
        <x:f>ROUND(N73-AC73,6)</x:f>
        <x:v>0</x:v>
      </x:c>
    </x:row>
    <x:row r="74" ht="22" customHeight="1">
      <x:c r="A74" s="7" t="str">
        <x:v>QUARTER</x:v>
      </x:c>
      <x:c r="B74" s="7" t="str">
        <x:v>R2</x:v>
      </x:c>
      <x:c r="C74" s="7" t="str">
        <x:v>Q3</x:v>
      </x:c>
      <x:c r="D74" s="7" t="str">
        <x:v>D02</x:v>
      </x:c>
      <x:c r="E74" s="7" t="str">
        <x:v>G06</x:v>
      </x:c>
      <x:c r="F74" s="7" t="str">
        <x:v>E021</x:v>
      </x:c>
      <x:c r="G74" s="7" t="str">
        <x:v>样例员工21</x:v>
      </x:c>
      <x:c r="H74" s="7" t="n">
        <x:v>161731.14</x:v>
      </x:c>
      <x:c r="I74" s="7" t="n">
        <x:f>MAX(Z74-K74,0)</x:f>
        <x:v>0</x:v>
      </x:c>
      <x:c r="J74" s="7" t="n">
        <x:f>H74-Z74</x:f>
        <x:v>161731.14</x:v>
      </x:c>
      <x:c r="K74" s="7" t="n">
        <x:v>0</x:v>
      </x:c>
      <x:c r="L74" s="7" t="n">
        <x:f>MAX(K74-Z74,0)</x:f>
        <x:v>0</x:v>
      </x:c>
      <x:c r="M74" s="10" t="n">
        <x:f>IF(P74=0,0,MIN(Q74/P74,1))</x:f>
        <x:v>0</x:v>
      </x:c>
      <x:c r="N74" s="10" t="n">
        <x:f>ROUND(MIN(R74,'参数'!$B$11)/'参数'!$B$11*'参数'!$B$2+S74/100*'参数'!$B$3+T74*'参数'!$B$4+U74*'参数'!$B$5+MIN(V74,'参数'!$B$12)/'参数'!$B$12*'参数'!$B$6+W74/100*'参数'!$B$7,'参数'!$B$13)</x:f>
        <x:v>0.706681</x:v>
      </x:c>
      <x:c r="O74" s="7"/>
      <x:c r="P74" s="7" t="n">
        <x:v>1474330</x:v>
      </x:c>
      <x:c r="Q74" s="7" t="n">
        <x:v>0</x:v>
      </x:c>
      <x:c r="R74" s="11" t="n">
        <x:v>9</x:v>
      </x:c>
      <x:c r="S74" s="7" t="n">
        <x:v>84</x:v>
      </x:c>
      <x:c r="T74" s="10" t="n">
        <x:v>0.807909604519774</x:v>
      </x:c>
      <x:c r="U74" s="10" t="n">
        <x:v>0.5616495238095238</x:v>
      </x:c>
      <x:c r="V74" s="11" t="n">
        <x:v>4</x:v>
      </x:c>
      <x:c r="W74" s="11" t="n">
        <x:v>66</x:v>
      </x:c>
      <x:c r="X74" s="11"/>
      <x:c r="Y74" s="7" t="str">
        <x:v>负责人评分</x:v>
      </x:c>
      <x:c r="Z74" s="7" t="n">
        <x:f>ROUND(H74*M74,2)</x:f>
        <x:v>0</x:v>
      </x:c>
      <x:c r="AA74" s="7" t="n">
        <x:v>0</x:v>
      </x:c>
      <x:c r="AB74" s="7" t="n">
        <x:v>161731.14</x:v>
      </x:c>
      <x:c r="AC74" s="10" t="n">
        <x:v>0.706681</x:v>
      </x:c>
      <x:c r="AD74" s="7" t="n">
        <x:f>ROUND(I74-AA74,2)</x:f>
        <x:v>0</x:v>
      </x:c>
      <x:c r="AE74" s="10" t="n">
        <x:f>ROUND(N74-AC74,6)</x:f>
        <x:v>0</x:v>
      </x:c>
    </x:row>
    <x:row r="75" ht="22" customHeight="1">
      <x:c r="A75" s="7" t="str">
        <x:v>QUARTER</x:v>
      </x:c>
      <x:c r="B75" s="7" t="str">
        <x:v>R2</x:v>
      </x:c>
      <x:c r="C75" s="7" t="str">
        <x:v>Q3</x:v>
      </x:c>
      <x:c r="D75" s="7" t="str">
        <x:v>D02</x:v>
      </x:c>
      <x:c r="E75" s="7" t="str">
        <x:v>G06</x:v>
      </x:c>
      <x:c r="F75" s="7" t="str">
        <x:v>E022</x:v>
      </x:c>
      <x:c r="G75" s="7" t="str">
        <x:v>样例员工22</x:v>
      </x:c>
      <x:c r="H75" s="7" t="n">
        <x:v>167156.5</x:v>
      </x:c>
      <x:c r="I75" s="7" t="n">
        <x:f>MAX(Z75-K75,0)</x:f>
        <x:v>0</x:v>
      </x:c>
      <x:c r="J75" s="7" t="n">
        <x:f>H75-Z75</x:f>
        <x:v>167156.5</x:v>
      </x:c>
      <x:c r="K75" s="7" t="n">
        <x:v>0</x:v>
      </x:c>
      <x:c r="L75" s="7" t="n">
        <x:f>MAX(K75-Z75,0)</x:f>
        <x:v>0</x:v>
      </x:c>
      <x:c r="M75" s="10" t="n">
        <x:f>IF(P75=0,0,MIN(Q75/P75,1))</x:f>
        <x:v>0</x:v>
      </x:c>
      <x:c r="N75" s="10" t="n">
        <x:f>ROUND(MIN(R75,'参数'!$B$11)/'参数'!$B$11*'参数'!$B$2+S75/100*'参数'!$B$3+T75*'参数'!$B$4+U75*'参数'!$B$5+MIN(V75,'参数'!$B$12)/'参数'!$B$12*'参数'!$B$6+W75/100*'参数'!$B$7,'参数'!$B$13)</x:f>
        <x:v>0.730387</x:v>
      </x:c>
      <x:c r="O75" s="7"/>
      <x:c r="P75" s="7" t="n">
        <x:v>1761650</x:v>
      </x:c>
      <x:c r="Q75" s="7" t="n">
        <x:v>0</x:v>
      </x:c>
      <x:c r="R75" s="11" t="n">
        <x:v>6</x:v>
      </x:c>
      <x:c r="S75" s="7" t="n">
        <x:v>65</x:v>
      </x:c>
      <x:c r="T75" s="10" t="n">
        <x:v>0.6666666666666666</x:v>
      </x:c>
      <x:c r="U75" s="10" t="n">
        <x:v>0.7829555555555555</x:v>
      </x:c>
      <x:c r="V75" s="11" t="n">
        <x:v>4</x:v>
      </x:c>
      <x:c r="W75" s="11" t="n">
        <x:v>77</x:v>
      </x:c>
      <x:c r="X75" s="11"/>
      <x:c r="Y75" s="7" t="str">
        <x:v>负责人评分</x:v>
      </x:c>
      <x:c r="Z75" s="7" t="n">
        <x:f>ROUND(H75*M75,2)</x:f>
        <x:v>0</x:v>
      </x:c>
      <x:c r="AA75" s="7" t="n">
        <x:v>0</x:v>
      </x:c>
      <x:c r="AB75" s="7" t="n">
        <x:v>167156.5</x:v>
      </x:c>
      <x:c r="AC75" s="10" t="n">
        <x:v>0.730387</x:v>
      </x:c>
      <x:c r="AD75" s="7" t="n">
        <x:f>ROUND(I75-AA75,2)</x:f>
        <x:v>0</x:v>
      </x:c>
      <x:c r="AE75" s="10" t="n">
        <x:f>ROUND(N75-AC75,6)</x:f>
        <x:v>0</x:v>
      </x:c>
    </x:row>
    <x:row r="76" ht="22" customHeight="1">
      <x:c r="A76" s="7" t="str">
        <x:v>QUARTER</x:v>
      </x:c>
      <x:c r="B76" s="7" t="str">
        <x:v>R2</x:v>
      </x:c>
      <x:c r="C76" s="7" t="str">
        <x:v>Q3</x:v>
      </x:c>
      <x:c r="D76" s="7" t="str">
        <x:v>D02</x:v>
      </x:c>
      <x:c r="E76" s="7" t="str">
        <x:v>G06</x:v>
      </x:c>
      <x:c r="F76" s="7" t="str">
        <x:v>E023</x:v>
      </x:c>
      <x:c r="G76" s="7" t="str">
        <x:v>样例员工23</x:v>
      </x:c>
      <x:c r="H76" s="7" t="n">
        <x:v>191633.55</x:v>
      </x:c>
      <x:c r="I76" s="7" t="n">
        <x:f>MAX(Z76-K76,0)</x:f>
        <x:v>0</x:v>
      </x:c>
      <x:c r="J76" s="7" t="n">
        <x:f>H76-Z76</x:f>
        <x:v>191633.55</x:v>
      </x:c>
      <x:c r="K76" s="7" t="n">
        <x:v>0</x:v>
      </x:c>
      <x:c r="L76" s="7" t="n">
        <x:f>MAX(K76-Z76,0)</x:f>
        <x:v>0</x:v>
      </x:c>
      <x:c r="M76" s="10" t="n">
        <x:f>IF(P76=0,0,MIN(Q76/P76,1))</x:f>
        <x:v>0</x:v>
      </x:c>
      <x:c r="N76" s="10" t="n">
        <x:f>ROUND(MIN(R76,'参数'!$B$11)/'参数'!$B$11*'参数'!$B$2+S76/100*'参数'!$B$3+T76*'参数'!$B$4+U76*'参数'!$B$5+MIN(V76,'参数'!$B$12)/'参数'!$B$12*'参数'!$B$6+W76/100*'参数'!$B$7,'参数'!$B$13)</x:f>
        <x:v>0.837339</x:v>
      </x:c>
      <x:c r="O76" s="7"/>
      <x:c r="P76" s="7" t="n">
        <x:v>2075810</x:v>
      </x:c>
      <x:c r="Q76" s="7" t="n">
        <x:v>0</x:v>
      </x:c>
      <x:c r="R76" s="11" t="n">
        <x:v>3</x:v>
      </x:c>
      <x:c r="S76" s="7" t="n">
        <x:v>93</x:v>
      </x:c>
      <x:c r="T76" s="10" t="n">
        <x:v>0.575591985428051</x:v>
      </x:c>
      <x:c r="U76" s="10" t="n">
        <x:v>1</x:v>
      </x:c>
      <x:c r="V76" s="11" t="n">
        <x:v>5</x:v>
      </x:c>
      <x:c r="W76" s="11" t="n">
        <x:v>95</x:v>
      </x:c>
      <x:c r="X76" s="11"/>
      <x:c r="Y76" s="7" t="str">
        <x:v>负责人评分</x:v>
      </x:c>
      <x:c r="Z76" s="7" t="n">
        <x:f>ROUND(H76*M76,2)</x:f>
        <x:v>0</x:v>
      </x:c>
      <x:c r="AA76" s="7" t="n">
        <x:v>0</x:v>
      </x:c>
      <x:c r="AB76" s="7" t="n">
        <x:v>191633.55</x:v>
      </x:c>
      <x:c r="AC76" s="10" t="n">
        <x:v>0.837339</x:v>
      </x:c>
      <x:c r="AD76" s="7" t="n">
        <x:f>ROUND(I76-AA76,2)</x:f>
        <x:v>0</x:v>
      </x:c>
      <x:c r="AE76" s="10" t="n">
        <x:f>ROUND(N76-AC76,6)</x:f>
        <x:v>0</x:v>
      </x:c>
    </x:row>
    <x:row r="77" ht="22" customHeight="1">
      <x:c r="A77" s="7" t="str">
        <x:v>QUARTER</x:v>
      </x:c>
      <x:c r="B77" s="7" t="str">
        <x:v>R2</x:v>
      </x:c>
      <x:c r="C77" s="7" t="str">
        <x:v>Q3</x:v>
      </x:c>
      <x:c r="D77" s="7" t="str">
        <x:v>D02</x:v>
      </x:c>
      <x:c r="E77" s="7" t="str">
        <x:v>G06</x:v>
      </x:c>
      <x:c r="F77" s="7" t="str">
        <x:v>E024</x:v>
      </x:c>
      <x:c r="G77" s="7" t="str">
        <x:v>样例员工24</x:v>
      </x:c>
      <x:c r="H77" s="7" t="n">
        <x:v>163978.31</x:v>
      </x:c>
      <x:c r="I77" s="7" t="n">
        <x:f>MAX(Z77-K77,0)</x:f>
        <x:v>0</x:v>
      </x:c>
      <x:c r="J77" s="7" t="n">
        <x:f>H77-Z77</x:f>
        <x:v>163978.31</x:v>
      </x:c>
      <x:c r="K77" s="7" t="n">
        <x:v>0</x:v>
      </x:c>
      <x:c r="L77" s="7" t="n">
        <x:f>MAX(K77-Z77,0)</x:f>
        <x:v>0</x:v>
      </x:c>
      <x:c r="M77" s="10" t="n">
        <x:f>IF(P77=0,0,MIN(Q77/P77,1))</x:f>
        <x:v>0</x:v>
      </x:c>
      <x:c r="N77" s="10" t="n">
        <x:f>ROUND(MIN(R77,'参数'!$B$11)/'参数'!$B$11*'参数'!$B$2+S77/100*'参数'!$B$3+T77*'参数'!$B$4+U77*'参数'!$B$5+MIN(V77,'参数'!$B$12)/'参数'!$B$12*'参数'!$B$6+W77/100*'参数'!$B$7,'参数'!$B$13)</x:f>
        <x:v>0.7165</x:v>
      </x:c>
      <x:c r="O77" s="7"/>
      <x:c r="P77" s="7" t="n">
        <x:v>2014210</x:v>
      </x:c>
      <x:c r="Q77" s="7" t="n">
        <x:v>0</x:v>
      </x:c>
      <x:c r="R77" s="11" t="n">
        <x:v>0</x:v>
      </x:c>
      <x:c r="S77" s="7" t="n">
        <x:v>76</x:v>
      </x:c>
      <x:c r="T77" s="10" t="n">
        <x:v>0.6666666666666666</x:v>
      </x:c>
      <x:c r="U77" s="10" t="n">
        <x:v>1</x:v>
      </x:c>
      <x:c r="V77" s="11" t="n">
        <x:v>5</x:v>
      </x:c>
      <x:c r="W77" s="11" t="n">
        <x:v>68</x:v>
      </x:c>
      <x:c r="X77" s="11"/>
      <x:c r="Y77" s="7" t="str">
        <x:v>负责人评分</x:v>
      </x:c>
      <x:c r="Z77" s="7" t="n">
        <x:f>ROUND(H77*M77,2)</x:f>
        <x:v>0</x:v>
      </x:c>
      <x:c r="AA77" s="7" t="n">
        <x:v>0</x:v>
      </x:c>
      <x:c r="AB77" s="7" t="n">
        <x:v>163978.31</x:v>
      </x:c>
      <x:c r="AC77" s="10" t="n">
        <x:v>0.7165</x:v>
      </x:c>
      <x:c r="AD77" s="7" t="n">
        <x:f>ROUND(I77-AA77,2)</x:f>
        <x:v>0</x:v>
      </x:c>
      <x:c r="AE77" s="10" t="n">
        <x:f>ROUND(N77-AC77,6)</x:f>
        <x:v>0</x:v>
      </x:c>
    </x:row>
    <x:row r="78" ht="22" customHeight="1">
      <x:c r="A78" s="7" t="str">
        <x:v>PROCESS</x:v>
      </x:c>
      <x:c r="B78" s="7" t="str">
        <x:v>R0</x:v>
      </x:c>
      <x:c r="C78" s="7" t="str">
        <x:v>Q3</x:v>
      </x:c>
      <x:c r="D78" s="7" t="str">
        <x:v>D01</x:v>
      </x:c>
      <x:c r="E78" s="7" t="str">
        <x:v>G01</x:v>
      </x:c>
      <x:c r="F78" s="7" t="str">
        <x:v>E001</x:v>
      </x:c>
      <x:c r="G78" s="7" t="str">
        <x:v>样例员工01</x:v>
      </x:c>
      <x:c r="H78" s="7" t="n">
        <x:v>17185.34</x:v>
      </x:c>
      <x:c r="I78" s="7" t="n">
        <x:f>MAX(Z78-K78,0)</x:f>
        <x:v>6770.94</x:v>
      </x:c>
      <x:c r="J78" s="7" t="n">
        <x:f>H78-Z78</x:f>
        <x:v>10414.400000000001</x:v>
      </x:c>
      <x:c r="K78" s="7" t="n">
        <x:v>0</x:v>
      </x:c>
      <x:c r="L78" s="7" t="n">
        <x:f>MAX(K78-Z78,0)</x:f>
        <x:v>0</x:v>
      </x:c>
      <x:c r="M78" s="10" t="n">
        <x:f>IF(P78=0,0,MIN(Q78/P78,1))</x:f>
        <x:v>0.3939951024850354</x:v>
      </x:c>
      <x:c r="N78" s="10" t="n">
        <x:f>ROUND(MIN(R78,'参数'!$B$11)/'参数'!$B$11*'参数'!$B$2+S78/100*'参数'!$B$3+T78*'参数'!$B$4+U78*'参数'!$B$5+MIN(V78,'参数'!$B$12)/'参数'!$B$12*'参数'!$B$6+W78/100*'参数'!$B$7,'参数'!$B$13)</x:f>
        <x:v>0.728431</x:v>
      </x:c>
      <x:c r="O78" s="7"/>
      <x:c r="P78" s="7" t="n">
        <x:v>2425720</x:v>
      </x:c>
      <x:c r="Q78" s="7" t="n">
        <x:v>955721.8</x:v>
      </x:c>
      <x:c r="R78" s="11" t="n">
        <x:v>9</x:v>
      </x:c>
      <x:c r="S78" s="7" t="n">
        <x:v>97</x:v>
      </x:c>
      <x:c r="T78" s="10" t="n">
        <x:v>0.5760869565217391</x:v>
      </x:c>
      <x:c r="U78" s="10" t="n">
        <x:v>0.6417248677248677</x:v>
      </x:c>
      <x:c r="V78" s="11" t="n">
        <x:v>5</x:v>
      </x:c>
      <x:c r="W78" s="11" t="n">
        <x:v>62</x:v>
      </x:c>
      <x:c r="X78" s="11" t="n">
        <x:v>97</x:v>
      </x:c>
      <x:c r="Y78" s="7" t="str">
        <x:v>AI建议经人工确认</x:v>
      </x:c>
      <x:c r="Z78" s="7" t="n">
        <x:f>ROUND(H78*M78,2)</x:f>
        <x:v>6770.94</x:v>
      </x:c>
      <x:c r="AA78" s="7" t="n">
        <x:v>6770.94</x:v>
      </x:c>
      <x:c r="AB78" s="7" t="n">
        <x:v>10414.4</x:v>
      </x:c>
      <x:c r="AC78" s="10" t="n">
        <x:v>0.728431</x:v>
      </x:c>
      <x:c r="AD78" s="7" t="n">
        <x:f>ROUND(I78-AA78,2)</x:f>
        <x:v>0</x:v>
      </x:c>
      <x:c r="AE78" s="10" t="n">
        <x:f>ROUND(N78-AC78,6)</x:f>
        <x:v>0</x:v>
      </x:c>
    </x:row>
    <x:row r="79" ht="22" customHeight="1">
      <x:c r="A79" s="7" t="str">
        <x:v>PROCESS</x:v>
      </x:c>
      <x:c r="B79" s="7" t="str">
        <x:v>R0</x:v>
      </x:c>
      <x:c r="C79" s="7" t="str">
        <x:v>Q3</x:v>
      </x:c>
      <x:c r="D79" s="7" t="str">
        <x:v>D01</x:v>
      </x:c>
      <x:c r="E79" s="7" t="str">
        <x:v>G01</x:v>
      </x:c>
      <x:c r="F79" s="7" t="str">
        <x:v>E002</x:v>
      </x:c>
      <x:c r="G79" s="7" t="str">
        <x:v>样例员工02</x:v>
      </x:c>
      <x:c r="H79" s="7" t="n">
        <x:v>17773.1</x:v>
      </x:c>
      <x:c r="I79" s="7" t="n">
        <x:f>MAX(Z79-K79,0)</x:f>
        <x:v>6807.94</x:v>
      </x:c>
      <x:c r="J79" s="7" t="n">
        <x:f>H79-Z79</x:f>
        <x:v>10965.16</x:v>
      </x:c>
      <x:c r="K79" s="7" t="n">
        <x:v>0</x:v>
      </x:c>
      <x:c r="L79" s="7" t="n">
        <x:f>MAX(K79-Z79,0)</x:f>
        <x:v>0</x:v>
      </x:c>
      <x:c r="M79" s="10" t="n">
        <x:f>IF(P79=0,0,MIN(Q79/P79,1))</x:f>
        <x:v>0.3830472103004292</x:v>
      </x:c>
      <x:c r="N79" s="10" t="n">
        <x:f>ROUND(MIN(R79,'参数'!$B$11)/'参数'!$B$11*'参数'!$B$2+S79/100*'参数'!$B$3+T79*'参数'!$B$4+U79*'参数'!$B$5+MIN(V79,'参数'!$B$12)/'参数'!$B$12*'参数'!$B$6+W79/100*'参数'!$B$7,'参数'!$B$13)</x:f>
        <x:v>0.753344</x:v>
      </x:c>
      <x:c r="O79" s="7"/>
      <x:c r="P79" s="7" t="n">
        <x:v>2152920</x:v>
      </x:c>
      <x:c r="Q79" s="7" t="n">
        <x:v>824670</x:v>
      </x:c>
      <x:c r="R79" s="11" t="n">
        <x:v>6</x:v>
      </x:c>
      <x:c r="S79" s="7" t="n">
        <x:v>94</x:v>
      </x:c>
      <x:c r="T79" s="10" t="n">
        <x:v>0.6666666666666666</x:v>
      </x:c>
      <x:c r="U79" s="10" t="n">
        <x:v>0.6644814814814815</x:v>
      </x:c>
      <x:c r="V79" s="11" t="n">
        <x:v>5</x:v>
      </x:c>
      <x:c r="W79" s="11" t="n">
        <x:v>69</x:v>
      </x:c>
      <x:c r="X79" s="11" t="n">
        <x:v>76</x:v>
      </x:c>
      <x:c r="Y79" s="7" t="str">
        <x:v>AI建议经人工确认</x:v>
      </x:c>
      <x:c r="Z79" s="7" t="n">
        <x:f>ROUND(H79*M79,2)</x:f>
        <x:v>6807.94</x:v>
      </x:c>
      <x:c r="AA79" s="7" t="n">
        <x:v>6807.94</x:v>
      </x:c>
      <x:c r="AB79" s="7" t="n">
        <x:v>10965.16</x:v>
      </x:c>
      <x:c r="AC79" s="10" t="n">
        <x:v>0.753344</x:v>
      </x:c>
      <x:c r="AD79" s="7" t="n">
        <x:f>ROUND(I79-AA79,2)</x:f>
        <x:v>0</x:v>
      </x:c>
      <x:c r="AE79" s="10" t="n">
        <x:f>ROUND(N79-AC79,6)</x:f>
        <x:v>0</x:v>
      </x:c>
    </x:row>
    <x:row r="80" ht="22" customHeight="1">
      <x:c r="A80" s="7" t="str">
        <x:v>PROCESS</x:v>
      </x:c>
      <x:c r="B80" s="7" t="str">
        <x:v>R0</x:v>
      </x:c>
      <x:c r="C80" s="7" t="str">
        <x:v>Q3</x:v>
      </x:c>
      <x:c r="D80" s="7" t="str">
        <x:v>D01</x:v>
      </x:c>
      <x:c r="E80" s="7" t="str">
        <x:v>G01</x:v>
      </x:c>
      <x:c r="F80" s="7" t="str">
        <x:v>E003</x:v>
      </x:c>
      <x:c r="G80" s="7" t="str">
        <x:v>样例员工03</x:v>
      </x:c>
      <x:c r="H80" s="7" t="n">
        <x:v>16658.18</x:v>
      </x:c>
      <x:c r="I80" s="7" t="n">
        <x:f>MAX(Z80-K80,0)</x:f>
        <x:v>5837.95</x:v>
      </x:c>
      <x:c r="J80" s="7" t="n">
        <x:f>H80-Z80</x:f>
        <x:v>10820.23</x:v>
      </x:c>
      <x:c r="K80" s="7" t="n">
        <x:v>0</x:v>
      </x:c>
      <x:c r="L80" s="7" t="n">
        <x:f>MAX(K80-Z80,0)</x:f>
        <x:v>0</x:v>
      </x:c>
      <x:c r="M80" s="10" t="n">
        <x:f>IF(P80=0,0,MIN(Q80/P80,1))</x:f>
        <x:v>0.3504553971486762</x:v>
      </x:c>
      <x:c r="N80" s="10" t="n">
        <x:f>ROUND(MIN(R80,'参数'!$B$11)/'参数'!$B$11*'参数'!$B$2+S80/100*'参数'!$B$3+T80*'参数'!$B$4+U80*'参数'!$B$5+MIN(V80,'参数'!$B$12)/'参数'!$B$12*'参数'!$B$6+W80/100*'参数'!$B$7,'参数'!$B$13)</x:f>
        <x:v>0.706086</x:v>
      </x:c>
      <x:c r="O80" s="7"/>
      <x:c r="P80" s="7" t="n">
        <x:v>1350250</x:v>
      </x:c>
      <x:c r="Q80" s="7" t="n">
        <x:v>473202.4</x:v>
      </x:c>
      <x:c r="R80" s="11" t="n">
        <x:v>3</x:v>
      </x:c>
      <x:c r="S80" s="7" t="n">
        <x:v>97</x:v>
      </x:c>
      <x:c r="T80" s="10" t="n">
        <x:v>0.8103448275862069</x:v>
      </x:c>
      <x:c r="U80" s="10" t="n">
        <x:v>0.6251157407407407</x:v>
      </x:c>
      <x:c r="V80" s="11" t="n">
        <x:v>4</x:v>
      </x:c>
      <x:c r="W80" s="11" t="n">
        <x:v>62</x:v>
      </x:c>
      <x:c r="X80" s="11" t="n">
        <x:v>97</x:v>
      </x:c>
      <x:c r="Y80" s="7" t="str">
        <x:v>AI建议经人工确认</x:v>
      </x:c>
      <x:c r="Z80" s="7" t="n">
        <x:f>ROUND(H80*M80,2)</x:f>
        <x:v>5837.95</x:v>
      </x:c>
      <x:c r="AA80" s="7" t="n">
        <x:v>5837.95</x:v>
      </x:c>
      <x:c r="AB80" s="7" t="n">
        <x:v>10820.23</x:v>
      </x:c>
      <x:c r="AC80" s="10" t="n">
        <x:v>0.706086</x:v>
      </x:c>
      <x:c r="AD80" s="7" t="n">
        <x:f>ROUND(I80-AA80,2)</x:f>
        <x:v>0</x:v>
      </x:c>
      <x:c r="AE80" s="10" t="n">
        <x:f>ROUND(N80-AC80,6)</x:f>
        <x:v>0</x:v>
      </x:c>
    </x:row>
    <x:row r="81" ht="22" customHeight="1">
      <x:c r="A81" s="7" t="str">
        <x:v>PROCESS</x:v>
      </x:c>
      <x:c r="B81" s="7" t="str">
        <x:v>R0</x:v>
      </x:c>
      <x:c r="C81" s="7" t="str">
        <x:v>Q3</x:v>
      </x:c>
      <x:c r="D81" s="7" t="str">
        <x:v>D01</x:v>
      </x:c>
      <x:c r="E81" s="7" t="str">
        <x:v>G01</x:v>
      </x:c>
      <x:c r="F81" s="7" t="str">
        <x:v>E004</x:v>
      </x:c>
      <x:c r="G81" s="7" t="str">
        <x:v>样例员工04</x:v>
      </x:c>
      <x:c r="H81" s="7" t="n">
        <x:v>17069.01</x:v>
      </x:c>
      <x:c r="I81" s="7" t="n">
        <x:f>MAX(Z81-K81,0)</x:f>
        <x:v>5818.36</x:v>
      </x:c>
      <x:c r="J81" s="7" t="n">
        <x:f>H81-Z81</x:f>
        <x:v>11250.649999999998</x:v>
      </x:c>
      <x:c r="K81" s="7" t="n">
        <x:v>0</x:v>
      </x:c>
      <x:c r="L81" s="7" t="n">
        <x:f>MAX(K81-Z81,0)</x:f>
        <x:v>0</x:v>
      </x:c>
      <x:c r="M81" s="10" t="n">
        <x:f>IF(P81=0,0,MIN(Q81/P81,1))</x:f>
        <x:v>0.34087267060580484</x:v>
      </x:c>
      <x:c r="N81" s="10" t="n">
        <x:f>ROUND(MIN(R81,'参数'!$B$11)/'参数'!$B$11*'参数'!$B$2+S81/100*'参数'!$B$3+T81*'参数'!$B$4+U81*'参数'!$B$5+MIN(V81,'参数'!$B$12)/'参数'!$B$12*'参数'!$B$6+W81/100*'参数'!$B$7,'参数'!$B$13)</x:f>
        <x:v>0.7235</x:v>
      </x:c>
      <x:c r="O81" s="7"/>
      <x:c r="P81" s="7" t="n">
        <x:v>1694110</x:v>
      </x:c>
      <x:c r="Q81" s="7" t="n">
        <x:v>577475.8</x:v>
      </x:c>
      <x:c r="R81" s="11" t="n">
        <x:v>0</x:v>
      </x:c>
      <x:c r="S81" s="7" t="n">
        <x:v>82</x:v>
      </x:c>
      <x:c r="T81" s="10" t="n">
        <x:v>0.6666666666666666</x:v>
      </x:c>
      <x:c r="U81" s="10" t="n">
        <x:v>1</x:v>
      </x:c>
      <x:c r="V81" s="11" t="n">
        <x:v>4</x:v>
      </x:c>
      <x:c r="W81" s="11" t="n">
        <x:v>73</x:v>
      </x:c>
      <x:c r="X81" s="11" t="n">
        <x:v>73</x:v>
      </x:c>
      <x:c r="Y81" s="7" t="str">
        <x:v>AI建议经人工确认</x:v>
      </x:c>
      <x:c r="Z81" s="7" t="n">
        <x:f>ROUND(H81*M81,2)</x:f>
        <x:v>5818.36</x:v>
      </x:c>
      <x:c r="AA81" s="7" t="n">
        <x:v>5818.36</x:v>
      </x:c>
      <x:c r="AB81" s="7" t="n">
        <x:v>11250.65</x:v>
      </x:c>
      <x:c r="AC81" s="10" t="n">
        <x:v>0.7235</x:v>
      </x:c>
      <x:c r="AD81" s="7" t="n">
        <x:f>ROUND(I81-AA81,2)</x:f>
        <x:v>0</x:v>
      </x:c>
      <x:c r="AE81" s="10" t="n">
        <x:f>ROUND(N81-AC81,6)</x:f>
        <x:v>0</x:v>
      </x:c>
    </x:row>
    <x:row r="82" ht="22" customHeight="1">
      <x:c r="A82" s="7" t="str">
        <x:v>PROCESS</x:v>
      </x:c>
      <x:c r="B82" s="7" t="str">
        <x:v>R0</x:v>
      </x:c>
      <x:c r="C82" s="7" t="str">
        <x:v>Q3</x:v>
      </x:c>
      <x:c r="D82" s="7" t="str">
        <x:v>D01</x:v>
      </x:c>
      <x:c r="E82" s="7" t="str">
        <x:v>G02</x:v>
      </x:c>
      <x:c r="F82" s="7" t="str">
        <x:v>E005</x:v>
      </x:c>
      <x:c r="G82" s="7" t="str">
        <x:v>样例员工05</x:v>
      </x:c>
      <x:c r="H82" s="7" t="n">
        <x:v>18696.44</x:v>
      </x:c>
      <x:c r="I82" s="7" t="n">
        <x:f>MAX(Z82-K82,0)</x:f>
        <x:v>7219.89</x:v>
      </x:c>
      <x:c r="J82" s="7" t="n">
        <x:f>H82-Z82</x:f>
        <x:v>11476.55</x:v>
      </x:c>
      <x:c r="K82" s="7" t="n">
        <x:v>0</x:v>
      </x:c>
      <x:c r="L82" s="7" t="n">
        <x:f>MAX(K82-Z82,0)</x:f>
        <x:v>0</x:v>
      </x:c>
      <x:c r="M82" s="10" t="n">
        <x:f>IF(P82=0,0,MIN(Q82/P82,1))</x:f>
        <x:v>0.38616384357193034</x:v>
      </x:c>
      <x:c r="N82" s="10" t="n">
        <x:f>ROUND(MIN(R82,'参数'!$B$11)/'参数'!$B$11*'参数'!$B$2+S82/100*'参数'!$B$3+T82*'参数'!$B$4+U82*'参数'!$B$5+MIN(V82,'参数'!$B$12)/'参数'!$B$12*'参数'!$B$6+W82/100*'参数'!$B$7,'参数'!$B$13)</x:f>
        <x:v>0.679506</x:v>
      </x:c>
      <x:c r="O82" s="7"/>
      <x:c r="P82" s="7" t="n">
        <x:v>1409210</x:v>
      </x:c>
      <x:c r="Q82" s="7" t="n">
        <x:v>544185.95</x:v>
      </x:c>
      <x:c r="R82" s="11" t="n">
        <x:v>9</x:v>
      </x:c>
      <x:c r="S82" s="7" t="n">
        <x:v>72</x:v>
      </x:c>
      <x:c r="T82" s="10" t="n">
        <x:v>0.807909604519774</x:v>
      </x:c>
      <x:c r="U82" s="10" t="n">
        <x:v>0.4260650037792895</x:v>
      </x:c>
      <x:c r="V82" s="11" t="n">
        <x:v>4</x:v>
      </x:c>
      <x:c r="W82" s="11" t="n">
        <x:v>91</x:v>
      </x:c>
      <x:c r="X82" s="11" t="n">
        <x:v>63</x:v>
      </x:c>
      <x:c r="Y82" s="7" t="str">
        <x:v>AI建议经人工确认</x:v>
      </x:c>
      <x:c r="Z82" s="7" t="n">
        <x:f>ROUND(H82*M82,2)</x:f>
        <x:v>7219.89</x:v>
      </x:c>
      <x:c r="AA82" s="7" t="n">
        <x:v>7219.89</x:v>
      </x:c>
      <x:c r="AB82" s="7" t="n">
        <x:v>11476.55</x:v>
      </x:c>
      <x:c r="AC82" s="10" t="n">
        <x:v>0.679506</x:v>
      </x:c>
      <x:c r="AD82" s="7" t="n">
        <x:f>ROUND(I82-AA82,2)</x:f>
        <x:v>0</x:v>
      </x:c>
      <x:c r="AE82" s="10" t="n">
        <x:f>ROUND(N82-AC82,6)</x:f>
        <x:v>0</x:v>
      </x:c>
    </x:row>
    <x:row r="83" ht="22" customHeight="1">
      <x:c r="A83" s="7" t="str">
        <x:v>PROCESS</x:v>
      </x:c>
      <x:c r="B83" s="7" t="str">
        <x:v>R0</x:v>
      </x:c>
      <x:c r="C83" s="7" t="str">
        <x:v>Q3</x:v>
      </x:c>
      <x:c r="D83" s="7" t="str">
        <x:v>D01</x:v>
      </x:c>
      <x:c r="E83" s="7" t="str">
        <x:v>G02</x:v>
      </x:c>
      <x:c r="F83" s="7" t="str">
        <x:v>E006</x:v>
      </x:c>
      <x:c r="G83" s="7" t="str">
        <x:v>样例员工06</x:v>
      </x:c>
      <x:c r="H83" s="7" t="n">
        <x:v>19417.52</x:v>
      </x:c>
      <x:c r="I83" s="7" t="n">
        <x:f>MAX(Z83-K83,0)</x:f>
        <x:v>6421.96</x:v>
      </x:c>
      <x:c r="J83" s="7" t="n">
        <x:f>H83-Z83</x:f>
        <x:v>12995.560000000001</x:v>
      </x:c>
      <x:c r="K83" s="7" t="n">
        <x:v>0</x:v>
      </x:c>
      <x:c r="L83" s="7" t="n">
        <x:f>MAX(K83-Z83,0)</x:f>
        <x:v>0</x:v>
      </x:c>
      <x:c r="M83" s="10" t="n">
        <x:f>IF(P83=0,0,MIN(Q83/P83,1))</x:f>
        <x:v>0.3307303714582951</x:v>
      </x:c>
      <x:c r="N83" s="10" t="n">
        <x:f>ROUND(MIN(R83,'参数'!$B$11)/'参数'!$B$11*'参数'!$B$2+S83/100*'参数'!$B$3+T83*'参数'!$B$4+U83*'参数'!$B$5+MIN(V83,'参数'!$B$12)/'参数'!$B$12*'参数'!$B$6+W83/100*'参数'!$B$7,'参数'!$B$13)</x:f>
        <x:v>0.705713</x:v>
      </x:c>
      <x:c r="O83" s="7"/>
      <x:c r="P83" s="7" t="n">
        <x:v>1797510</x:v>
      </x:c>
      <x:c r="Q83" s="7" t="n">
        <x:v>594491.15</x:v>
      </x:c>
      <x:c r="R83" s="11" t="n">
        <x:v>6</x:v>
      </x:c>
      <x:c r="S83" s="7" t="n">
        <x:v>69</x:v>
      </x:c>
      <x:c r="T83" s="10" t="n">
        <x:v>0.6666666666666666</x:v>
      </x:c>
      <x:c r="U83" s="10" t="n">
        <x:v>0.6340423280423281</x:v>
      </x:c>
      <x:c r="V83" s="11" t="n">
        <x:v>4</x:v>
      </x:c>
      <x:c r="W83" s="11" t="n">
        <x:v>85</x:v>
      </x:c>
      <x:c r="X83" s="11" t="n">
        <x:v>71</x:v>
      </x:c>
      <x:c r="Y83" s="7" t="str">
        <x:v>AI建议经人工确认</x:v>
      </x:c>
      <x:c r="Z83" s="7" t="n">
        <x:f>ROUND(H83*M83,2)</x:f>
        <x:v>6421.96</x:v>
      </x:c>
      <x:c r="AA83" s="7" t="n">
        <x:v>6421.96</x:v>
      </x:c>
      <x:c r="AB83" s="7" t="n">
        <x:v>12995.56</x:v>
      </x:c>
      <x:c r="AC83" s="10" t="n">
        <x:v>0.705713</x:v>
      </x:c>
      <x:c r="AD83" s="7" t="n">
        <x:f>ROUND(I83-AA83,2)</x:f>
        <x:v>0</x:v>
      </x:c>
      <x:c r="AE83" s="10" t="n">
        <x:f>ROUND(N83-AC83,6)</x:f>
        <x:v>0</x:v>
      </x:c>
    </x:row>
    <x:row r="84" ht="22" customHeight="1">
      <x:c r="A84" s="7" t="str">
        <x:v>PROCESS</x:v>
      </x:c>
      <x:c r="B84" s="7" t="str">
        <x:v>R0</x:v>
      </x:c>
      <x:c r="C84" s="7" t="str">
        <x:v>Q3</x:v>
      </x:c>
      <x:c r="D84" s="7" t="str">
        <x:v>D01</x:v>
      </x:c>
      <x:c r="E84" s="7" t="str">
        <x:v>G02</x:v>
      </x:c>
      <x:c r="F84" s="7" t="str">
        <x:v>E007</x:v>
      </x:c>
      <x:c r="G84" s="7" t="str">
        <x:v>样例员工07</x:v>
      </x:c>
      <x:c r="H84" s="7" t="n">
        <x:v>21759.74</x:v>
      </x:c>
      <x:c r="I84" s="7" t="n">
        <x:f>MAX(Z84-K84,0)</x:f>
        <x:v>7738.93</x:v>
      </x:c>
      <x:c r="J84" s="7" t="n">
        <x:f>H84-Z84</x:f>
        <x:v>14020.810000000001</x:v>
      </x:c>
      <x:c r="K84" s="7" t="n">
        <x:v>0</x:v>
      </x:c>
      <x:c r="L84" s="7" t="n">
        <x:f>MAX(K84-Z84,0)</x:f>
        <x:v>0</x:v>
      </x:c>
      <x:c r="M84" s="10" t="n">
        <x:f>IF(P84=0,0,MIN(Q84/P84,1))</x:f>
        <x:v>0.3556535750718724</x:v>
      </x:c>
      <x:c r="N84" s="10" t="n">
        <x:f>ROUND(MIN(R84,'参数'!$B$11)/'参数'!$B$11*'参数'!$B$2+S84/100*'参数'!$B$3+T84*'参数'!$B$4+U84*'参数'!$B$5+MIN(V84,'参数'!$B$12)/'参数'!$B$12*'参数'!$B$6+W84/100*'参数'!$B$7,'参数'!$B$13)</x:f>
        <x:v>0.790839</x:v>
      </x:c>
      <x:c r="O84" s="7"/>
      <x:c r="P84" s="7" t="n">
        <x:v>2372260</x:v>
      </x:c>
      <x:c r="Q84" s="7" t="n">
        <x:v>843702.75</x:v>
      </x:c>
      <x:c r="R84" s="11" t="n">
        <x:v>3</x:v>
      </x:c>
      <x:c r="S84" s="7" t="n">
        <x:v>78</x:v>
      </x:c>
      <x:c r="T84" s="10" t="n">
        <x:v>0.575591985428051</x:v>
      </x:c>
      <x:c r="U84" s="10" t="n">
        <x:v>1</x:v>
      </x:c>
      <x:c r="V84" s="11" t="n">
        <x:v>5</x:v>
      </x:c>
      <x:c r="W84" s="11" t="n">
        <x:v>84</x:v>
      </x:c>
      <x:c r="X84" s="11"/>
      <x:c r="Y84" s="7" t="str">
        <x:v>负责人评分</x:v>
      </x:c>
      <x:c r="Z84" s="7" t="n">
        <x:f>ROUND(H84*M84,2)</x:f>
        <x:v>7738.93</x:v>
      </x:c>
      <x:c r="AA84" s="7" t="n">
        <x:v>7738.93</x:v>
      </x:c>
      <x:c r="AB84" s="7" t="n">
        <x:v>14020.81</x:v>
      </x:c>
      <x:c r="AC84" s="10" t="n">
        <x:v>0.790839</x:v>
      </x:c>
      <x:c r="AD84" s="7" t="n">
        <x:f>ROUND(I84-AA84,2)</x:f>
        <x:v>0</x:v>
      </x:c>
      <x:c r="AE84" s="10" t="n">
        <x:f>ROUND(N84-AC84,6)</x:f>
        <x:v>0</x:v>
      </x:c>
    </x:row>
    <x:row r="85" ht="22" customHeight="1">
      <x:c r="A85" s="7" t="str">
        <x:v>PROCESS</x:v>
      </x:c>
      <x:c r="B85" s="7" t="str">
        <x:v>R0</x:v>
      </x:c>
      <x:c r="C85" s="7" t="str">
        <x:v>Q3</x:v>
      </x:c>
      <x:c r="D85" s="7" t="str">
        <x:v>D01</x:v>
      </x:c>
      <x:c r="E85" s="7" t="str">
        <x:v>G02</x:v>
      </x:c>
      <x:c r="F85" s="7" t="str">
        <x:v>E008</x:v>
      </x:c>
      <x:c r="G85" s="7" t="str">
        <x:v>样例员工08</x:v>
      </x:c>
      <x:c r="H85" s="7" t="n">
        <x:v>19631.78</x:v>
      </x:c>
      <x:c r="I85" s="7" t="n">
        <x:f>MAX(Z85-K85,0)</x:f>
        <x:v>7671.06</x:v>
      </x:c>
      <x:c r="J85" s="7" t="n">
        <x:f>H85-Z85</x:f>
        <x:v>11960.719999999998</x:v>
      </x:c>
      <x:c r="K85" s="7" t="n">
        <x:v>0</x:v>
      </x:c>
      <x:c r="L85" s="7" t="n">
        <x:f>MAX(K85-Z85,0)</x:f>
        <x:v>0</x:v>
      </x:c>
      <x:c r="M85" s="10" t="n">
        <x:f>IF(P85=0,0,MIN(Q85/P85,1))</x:f>
        <x:v>0.3907472285006996</x:v>
      </x:c>
      <x:c r="N85" s="10" t="n">
        <x:f>ROUND(MIN(R85,'参数'!$B$11)/'参数'!$B$11*'参数'!$B$2+S85/100*'参数'!$B$3+T85*'参数'!$B$4+U85*'参数'!$B$5+MIN(V85,'参数'!$B$12)/'参数'!$B$12*'参数'!$B$6+W85/100*'参数'!$B$7,'参数'!$B$13)</x:f>
        <x:v>0.7135</x:v>
      </x:c>
      <x:c r="O85" s="7"/>
      <x:c r="P85" s="7" t="n">
        <x:v>2044020</x:v>
      </x:c>
      <x:c r="Q85" s="7" t="n">
        <x:v>798695.15</x:v>
      </x:c>
      <x:c r="R85" s="11" t="n">
        <x:v>0</x:v>
      </x:c>
      <x:c r="S85" s="7" t="n">
        <x:v>70</x:v>
      </x:c>
      <x:c r="T85" s="10" t="n">
        <x:v>0.6666666666666666</x:v>
      </x:c>
      <x:c r="U85" s="10" t="n">
        <x:v>1</x:v>
      </x:c>
      <x:c r="V85" s="11" t="n">
        <x:v>5</x:v>
      </x:c>
      <x:c r="W85" s="11" t="n">
        <x:v>74</x:v>
      </x:c>
      <x:c r="X85" s="11"/>
      <x:c r="Y85" s="7" t="str">
        <x:v>负责人评分</x:v>
      </x:c>
      <x:c r="Z85" s="7" t="n">
        <x:f>ROUND(H85*M85,2)</x:f>
        <x:v>7671.06</x:v>
      </x:c>
      <x:c r="AA85" s="7" t="n">
        <x:v>7671.06</x:v>
      </x:c>
      <x:c r="AB85" s="7" t="n">
        <x:v>11960.72</x:v>
      </x:c>
      <x:c r="AC85" s="10" t="n">
        <x:v>0.7135</x:v>
      </x:c>
      <x:c r="AD85" s="7" t="n">
        <x:f>ROUND(I85-AA85,2)</x:f>
        <x:v>0</x:v>
      </x:c>
      <x:c r="AE85" s="10" t="n">
        <x:f>ROUND(N85-AC85,6)</x:f>
        <x:v>0</x:v>
      </x:c>
    </x:row>
    <x:row r="86" ht="22" customHeight="1">
      <x:c r="A86" s="7" t="str">
        <x:v>PROCESS</x:v>
      </x:c>
      <x:c r="B86" s="7" t="str">
        <x:v>R0</x:v>
      </x:c>
      <x:c r="C86" s="7" t="str">
        <x:v>Q3</x:v>
      </x:c>
      <x:c r="D86" s="7" t="str">
        <x:v>D01</x:v>
      </x:c>
      <x:c r="E86" s="7" t="str">
        <x:v>G03</x:v>
      </x:c>
      <x:c r="F86" s="7" t="str">
        <x:v>E009</x:v>
      </x:c>
      <x:c r="G86" s="7" t="str">
        <x:v>样例员工09</x:v>
      </x:c>
      <x:c r="H86" s="7" t="n">
        <x:v>18908.3</x:v>
      </x:c>
      <x:c r="I86" s="7" t="n">
        <x:f>MAX(Z86-K86,0)</x:f>
        <x:v>7134.49</x:v>
      </x:c>
      <x:c r="J86" s="7" t="n">
        <x:f>H86-Z86</x:f>
        <x:v>11773.81</x:v>
      </x:c>
      <x:c r="K86" s="7" t="n">
        <x:v>0</x:v>
      </x:c>
      <x:c r="L86" s="7" t="n">
        <x:f>MAX(K86-Z86,0)</x:f>
        <x:v>0</x:v>
      </x:c>
      <x:c r="M86" s="10" t="n">
        <x:f>IF(P86=0,0,MIN(Q86/P86,1))</x:f>
        <x:v>0.3773206885559452</x:v>
      </x:c>
      <x:c r="N86" s="10" t="n">
        <x:f>ROUND(MIN(R86,'参数'!$B$11)/'参数'!$B$11*'参数'!$B$2+S86/100*'参数'!$B$3+T86*'参数'!$B$4+U86*'参数'!$B$5+MIN(V86,'参数'!$B$12)/'参数'!$B$12*'参数'!$B$6+W86/100*'参数'!$B$7,'参数'!$B$13)</x:f>
        <x:v>0.741824</x:v>
      </x:c>
      <x:c r="O86" s="7"/>
      <x:c r="P86" s="7" t="n">
        <x:v>2070420</x:v>
      </x:c>
      <x:c r="Q86" s="7" t="n">
        <x:v>781212.3</x:v>
      </x:c>
      <x:c r="R86" s="11" t="n">
        <x:v>9</x:v>
      </x:c>
      <x:c r="S86" s="7" t="n">
        <x:v>67</x:v>
      </x:c>
      <x:c r="T86" s="10" t="n">
        <x:v>0.5760869565217391</x:v>
      </x:c>
      <x:c r="U86" s="10" t="n">
        <x:v>0.876368253968254</x:v>
      </x:c>
      <x:c r="V86" s="11" t="n">
        <x:v>5</x:v>
      </x:c>
      <x:c r="W86" s="11" t="n">
        <x:v>64</x:v>
      </x:c>
      <x:c r="X86" s="11"/>
      <x:c r="Y86" s="7" t="str">
        <x:v>负责人评分</x:v>
      </x:c>
      <x:c r="Z86" s="7" t="n">
        <x:f>ROUND(H86*M86,2)</x:f>
        <x:v>7134.49</x:v>
      </x:c>
      <x:c r="AA86" s="7" t="n">
        <x:v>7134.49</x:v>
      </x:c>
      <x:c r="AB86" s="7" t="n">
        <x:v>11773.81</x:v>
      </x:c>
      <x:c r="AC86" s="10" t="n">
        <x:v>0.741824</x:v>
      </x:c>
      <x:c r="AD86" s="7" t="n">
        <x:f>ROUND(I86-AA86,2)</x:f>
        <x:v>0</x:v>
      </x:c>
      <x:c r="AE86" s="10" t="n">
        <x:f>ROUND(N86-AC86,6)</x:f>
        <x:v>0</x:v>
      </x:c>
    </x:row>
    <x:row r="87" ht="22" customHeight="1">
      <x:c r="A87" s="7" t="str">
        <x:v>PROCESS</x:v>
      </x:c>
      <x:c r="B87" s="7" t="str">
        <x:v>R0</x:v>
      </x:c>
      <x:c r="C87" s="7" t="str">
        <x:v>Q3</x:v>
      </x:c>
      <x:c r="D87" s="7" t="str">
        <x:v>D01</x:v>
      </x:c>
      <x:c r="E87" s="7" t="str">
        <x:v>G03</x:v>
      </x:c>
      <x:c r="F87" s="7" t="str">
        <x:v>E010</x:v>
      </x:c>
      <x:c r="G87" s="7" t="str">
        <x:v>样例员工10</x:v>
      </x:c>
      <x:c r="H87" s="7" t="n">
        <x:v>18813.79</x:v>
      </x:c>
      <x:c r="I87" s="7" t="n">
        <x:f>MAX(Z87-K87,0)</x:f>
        <x:v>6929.04</x:v>
      </x:c>
      <x:c r="J87" s="7" t="n">
        <x:f>H87-Z87</x:f>
        <x:v>11884.75</x:v>
      </x:c>
      <x:c r="K87" s="7" t="n">
        <x:v>0</x:v>
      </x:c>
      <x:c r="L87" s="7" t="n">
        <x:f>MAX(K87-Z87,0)</x:f>
        <x:v>0</x:v>
      </x:c>
      <x:c r="M87" s="10" t="n">
        <x:f>IF(P87=0,0,MIN(Q87/P87,1))</x:f>
        <x:v>0.36829566926158264</x:v>
      </x:c>
      <x:c r="N87" s="10" t="n">
        <x:f>ROUND(MIN(R87,'参数'!$B$11)/'参数'!$B$11*'参数'!$B$2+S87/100*'参数'!$B$3+T87*'参数'!$B$4+U87*'参数'!$B$5+MIN(V87,'参数'!$B$12)/'参数'!$B$12*'参数'!$B$6+W87/100*'参数'!$B$7,'参数'!$B$13)</x:f>
        <x:v>0.738116</x:v>
      </x:c>
      <x:c r="O87" s="7"/>
      <x:c r="P87" s="7" t="n">
        <x:v>1455410</x:v>
      </x:c>
      <x:c r="Q87" s="7" t="n">
        <x:v>536021.2</x:v>
      </x:c>
      <x:c r="R87" s="11" t="n">
        <x:v>6</x:v>
      </x:c>
      <x:c r="S87" s="7" t="n">
        <x:v>79</x:v>
      </x:c>
      <x:c r="T87" s="10" t="n">
        <x:v>0.6666666666666666</x:v>
      </x:c>
      <x:c r="U87" s="10" t="n">
        <x:v>0.718720987654321</x:v>
      </x:c>
      <x:c r="V87" s="11" t="n">
        <x:v>5</x:v>
      </x:c>
      <x:c r="W87" s="11" t="n">
        <x:v>68</x:v>
      </x:c>
      <x:c r="X87" s="11"/>
      <x:c r="Y87" s="7" t="str">
        <x:v>负责人评分</x:v>
      </x:c>
      <x:c r="Z87" s="7" t="n">
        <x:f>ROUND(H87*M87,2)</x:f>
        <x:v>6929.04</x:v>
      </x:c>
      <x:c r="AA87" s="7" t="n">
        <x:v>6929.04</x:v>
      </x:c>
      <x:c r="AB87" s="7" t="n">
        <x:v>11884.75</x:v>
      </x:c>
      <x:c r="AC87" s="10" t="n">
        <x:v>0.738116</x:v>
      </x:c>
      <x:c r="AD87" s="7" t="n">
        <x:f>ROUND(I87-AA87,2)</x:f>
        <x:v>0</x:v>
      </x:c>
      <x:c r="AE87" s="10" t="n">
        <x:f>ROUND(N87-AC87,6)</x:f>
        <x:v>0</x:v>
      </x:c>
    </x:row>
    <x:row r="88" ht="22" customHeight="1">
      <x:c r="A88" s="7" t="str">
        <x:v>PROCESS</x:v>
      </x:c>
      <x:c r="B88" s="7" t="str">
        <x:v>R0</x:v>
      </x:c>
      <x:c r="C88" s="7" t="str">
        <x:v>Q3</x:v>
      </x:c>
      <x:c r="D88" s="7" t="str">
        <x:v>D01</x:v>
      </x:c>
      <x:c r="E88" s="7" t="str">
        <x:v>G03</x:v>
      </x:c>
      <x:c r="F88" s="7" t="str">
        <x:v>E011</x:v>
      </x:c>
      <x:c r="G88" s="7" t="str">
        <x:v>样例员工11</x:v>
      </x:c>
      <x:c r="H88" s="7" t="n">
        <x:v>19723.97</x:v>
      </x:c>
      <x:c r="I88" s="7" t="n">
        <x:f>MAX(Z88-K88,0)</x:f>
        <x:v>6943.1</x:v>
      </x:c>
      <x:c r="J88" s="7" t="n">
        <x:f>H88-Z88</x:f>
        <x:v>12780.87</x:v>
      </x:c>
      <x:c r="K88" s="7" t="n">
        <x:v>0</x:v>
      </x:c>
      <x:c r="L88" s="7" t="n">
        <x:f>MAX(K88-Z88,0)</x:f>
        <x:v>0</x:v>
      </x:c>
      <x:c r="M88" s="10" t="n">
        <x:f>IF(P88=0,0,MIN(Q88/P88,1))</x:f>
        <x:v>0.3520134983127109</x:v>
      </x:c>
      <x:c r="N88" s="10" t="n">
        <x:f>ROUND(MIN(R88,'参数'!$B$11)/'参数'!$B$11*'参数'!$B$2+S88/100*'参数'!$B$3+T88*'参数'!$B$4+U88*'参数'!$B$5+MIN(V88,'参数'!$B$12)/'参数'!$B$12*'参数'!$B$6+W88/100*'参数'!$B$7,'参数'!$B$13)</x:f>
        <x:v>0.773825</x:v>
      </x:c>
      <x:c r="O88" s="7"/>
      <x:c r="P88" s="7" t="n">
        <x:v>1173480</x:v>
      </x:c>
      <x:c r="Q88" s="7" t="n">
        <x:v>413080.8</x:v>
      </x:c>
      <x:c r="R88" s="11" t="n">
        <x:v>3</x:v>
      </x:c>
      <x:c r="S88" s="7" t="n">
        <x:v>71</x:v>
      </x:c>
      <x:c r="T88" s="10" t="n">
        <x:v>0.8103448275862069</x:v>
      </x:c>
      <x:c r="U88" s="10" t="n">
        <x:v>0.8692444444444445</x:v>
      </x:c>
      <x:c r="V88" s="11" t="n">
        <x:v>4</x:v>
      </x:c>
      <x:c r="W88" s="11" t="n">
        <x:v>93</x:v>
      </x:c>
      <x:c r="X88" s="11"/>
      <x:c r="Y88" s="7" t="str">
        <x:v>负责人评分</x:v>
      </x:c>
      <x:c r="Z88" s="7" t="n">
        <x:f>ROUND(H88*M88,2)</x:f>
        <x:v>6943.1</x:v>
      </x:c>
      <x:c r="AA88" s="7" t="n">
        <x:v>6943.1</x:v>
      </x:c>
      <x:c r="AB88" s="7" t="n">
        <x:v>12780.87</x:v>
      </x:c>
      <x:c r="AC88" s="10" t="n">
        <x:v>0.773825</x:v>
      </x:c>
      <x:c r="AD88" s="7" t="n">
        <x:f>ROUND(I88-AA88,2)</x:f>
        <x:v>0</x:v>
      </x:c>
      <x:c r="AE88" s="10" t="n">
        <x:f>ROUND(N88-AC88,6)</x:f>
        <x:v>0</x:v>
      </x:c>
    </x:row>
    <x:row r="89" ht="22" customHeight="1">
      <x:c r="A89" s="7" t="str">
        <x:v>PROCESS</x:v>
      </x:c>
      <x:c r="B89" s="7" t="str">
        <x:v>R0</x:v>
      </x:c>
      <x:c r="C89" s="7" t="str">
        <x:v>Q3</x:v>
      </x:c>
      <x:c r="D89" s="7" t="str">
        <x:v>D01</x:v>
      </x:c>
      <x:c r="E89" s="7" t="str">
        <x:v>G03</x:v>
      </x:c>
      <x:c r="F89" s="7" t="str">
        <x:v>E012</x:v>
      </x:c>
      <x:c r="G89" s="7" t="str">
        <x:v>样例员工12</x:v>
      </x:c>
      <x:c r="H89" s="7" t="n">
        <x:v>17090.33</x:v>
      </x:c>
      <x:c r="I89" s="7" t="n">
        <x:f>MAX(Z89-K89,0)</x:f>
        <x:v>5860.64</x:v>
      </x:c>
      <x:c r="J89" s="7" t="n">
        <x:f>H89-Z89</x:f>
        <x:v>11229.690000000002</x:v>
      </x:c>
      <x:c r="K89" s="7" t="n">
        <x:v>0</x:v>
      </x:c>
      <x:c r="L89" s="7" t="n">
        <x:f>MAX(K89-Z89,0)</x:f>
        <x:v>0</x:v>
      </x:c>
      <x:c r="M89" s="10" t="n">
        <x:f>IF(P89=0,0,MIN(Q89/P89,1))</x:f>
        <x:v>0.3429212401309455</x:v>
      </x:c>
      <x:c r="N89" s="10" t="n">
        <x:f>ROUND(MIN(R89,'参数'!$B$11)/'参数'!$B$11*'参数'!$B$2+S89/100*'参数'!$B$3+T89*'参数'!$B$4+U89*'参数'!$B$5+MIN(V89,'参数'!$B$12)/'参数'!$B$12*'参数'!$B$6+W89/100*'参数'!$B$7,'参数'!$B$13)</x:f>
        <x:v>0.6705</x:v>
      </x:c>
      <x:c r="O89" s="7"/>
      <x:c r="P89" s="7" t="n">
        <x:v>1713690</x:v>
      </x:c>
      <x:c r="Q89" s="7" t="n">
        <x:v>587660.7</x:v>
      </x:c>
      <x:c r="R89" s="11" t="n">
        <x:v>0</x:v>
      </x:c>
      <x:c r="S89" s="7" t="n">
        <x:v>60</x:v>
      </x:c>
      <x:c r="T89" s="10" t="n">
        <x:v>0.6666666666666666</x:v>
      </x:c>
      <x:c r="U89" s="10" t="n">
        <x:v>1</x:v>
      </x:c>
      <x:c r="V89" s="11" t="n">
        <x:v>4</x:v>
      </x:c>
      <x:c r="W89" s="11" t="n">
        <x:v>67</x:v>
      </x:c>
      <x:c r="X89" s="11"/>
      <x:c r="Y89" s="7" t="str">
        <x:v>负责人评分</x:v>
      </x:c>
      <x:c r="Z89" s="7" t="n">
        <x:f>ROUND(H89*M89,2)</x:f>
        <x:v>5860.64</x:v>
      </x:c>
      <x:c r="AA89" s="7" t="n">
        <x:v>5860.64</x:v>
      </x:c>
      <x:c r="AB89" s="7" t="n">
        <x:v>11229.69</x:v>
      </x:c>
      <x:c r="AC89" s="10" t="n">
        <x:v>0.6705</x:v>
      </x:c>
      <x:c r="AD89" s="7" t="n">
        <x:f>ROUND(I89-AA89,2)</x:f>
        <x:v>0</x:v>
      </x:c>
      <x:c r="AE89" s="10" t="n">
        <x:f>ROUND(N89-AC89,6)</x:f>
        <x:v>0</x:v>
      </x:c>
    </x:row>
    <x:row r="90" ht="22" customHeight="1">
      <x:c r="A90" s="7" t="str">
        <x:v>PROCESS</x:v>
      </x:c>
      <x:c r="B90" s="7" t="str">
        <x:v>R0</x:v>
      </x:c>
      <x:c r="C90" s="7" t="str">
        <x:v>Q3</x:v>
      </x:c>
      <x:c r="D90" s="7" t="str">
        <x:v>D02</x:v>
      </x:c>
      <x:c r="E90" s="7" t="str">
        <x:v>G04</x:v>
      </x:c>
      <x:c r="F90" s="7" t="str">
        <x:v>E013</x:v>
      </x:c>
      <x:c r="G90" s="7" t="str">
        <x:v>样例员工13</x:v>
      </x:c>
      <x:c r="H90" s="7" t="n">
        <x:v>19636.44</x:v>
      </x:c>
      <x:c r="I90" s="7" t="n">
        <x:f>MAX(Z90-K90,0)</x:f>
        <x:v>7707.24</x:v>
      </x:c>
      <x:c r="J90" s="7" t="n">
        <x:f>H90-Z90</x:f>
        <x:v>11929.199999999999</x:v>
      </x:c>
      <x:c r="K90" s="7" t="n">
        <x:v>0</x:v>
      </x:c>
      <x:c r="L90" s="7" t="n">
        <x:f>MAX(K90-Z90,0)</x:f>
        <x:v>0</x:v>
      </x:c>
      <x:c r="M90" s="10" t="n">
        <x:f>IF(P90=0,0,MIN(Q90/P90,1))</x:f>
        <x:v>0.3924968890962825</x:v>
      </x:c>
      <x:c r="N90" s="10" t="n">
        <x:f>ROUND(MIN(R90,'参数'!$B$11)/'参数'!$B$11*'参数'!$B$2+S90/100*'参数'!$B$3+T90*'参数'!$B$4+U90*'参数'!$B$5+MIN(V90,'参数'!$B$12)/'参数'!$B$12*'参数'!$B$6+W90/100*'参数'!$B$7,'参数'!$B$13)</x:f>
        <x:v>0.690214</x:v>
      </x:c>
      <x:c r="O90" s="7"/>
      <x:c r="P90" s="7" t="n">
        <x:v>1414380</x:v>
      </x:c>
      <x:c r="Q90" s="7" t="n">
        <x:v>555139.75</x:v>
      </x:c>
      <x:c r="R90" s="11" t="n">
        <x:v>9</x:v>
      </x:c>
      <x:c r="S90" s="7" t="n">
        <x:v>96</x:v>
      </x:c>
      <x:c r="T90" s="10" t="n">
        <x:v>0.807909604519774</x:v>
      </x:c>
      <x:c r="U90" s="10" t="n">
        <x:v>0.33675714285714287</x:v>
      </x:c>
      <x:c r="V90" s="11" t="n">
        <x:v>4</x:v>
      </x:c>
      <x:c r="W90" s="11" t="n">
        <x:v>84</x:v>
      </x:c>
      <x:c r="X90" s="11"/>
      <x:c r="Y90" s="7" t="str">
        <x:v>负责人评分</x:v>
      </x:c>
      <x:c r="Z90" s="7" t="n">
        <x:f>ROUND(H90*M90,2)</x:f>
        <x:v>7707.24</x:v>
      </x:c>
      <x:c r="AA90" s="7" t="n">
        <x:v>7707.24</x:v>
      </x:c>
      <x:c r="AB90" s="7" t="n">
        <x:v>11929.2</x:v>
      </x:c>
      <x:c r="AC90" s="10" t="n">
        <x:v>0.690214</x:v>
      </x:c>
      <x:c r="AD90" s="7" t="n">
        <x:f>ROUND(I90-AA90,2)</x:f>
        <x:v>0</x:v>
      </x:c>
      <x:c r="AE90" s="10" t="n">
        <x:f>ROUND(N90-AC90,6)</x:f>
        <x:v>0</x:v>
      </x:c>
    </x:row>
    <x:row r="91" ht="22" customHeight="1">
      <x:c r="A91" s="7" t="str">
        <x:v>PROCESS</x:v>
      </x:c>
      <x:c r="B91" s="7" t="str">
        <x:v>R0</x:v>
      </x:c>
      <x:c r="C91" s="7" t="str">
        <x:v>Q3</x:v>
      </x:c>
      <x:c r="D91" s="7" t="str">
        <x:v>D02</x:v>
      </x:c>
      <x:c r="E91" s="7" t="str">
        <x:v>G04</x:v>
      </x:c>
      <x:c r="F91" s="7" t="str">
        <x:v>E014</x:v>
      </x:c>
      <x:c r="G91" s="7" t="str">
        <x:v>样例员工14</x:v>
      </x:c>
      <x:c r="H91" s="7" t="n">
        <x:v>18568.13</x:v>
      </x:c>
      <x:c r="I91" s="7" t="n">
        <x:f>MAX(Z91-K91,0)</x:f>
        <x:v>6509.93</x:v>
      </x:c>
      <x:c r="J91" s="7" t="n">
        <x:f>H91-Z91</x:f>
        <x:v>12058.2</x:v>
      </x:c>
      <x:c r="K91" s="7" t="n">
        <x:v>0</x:v>
      </x:c>
      <x:c r="L91" s="7" t="n">
        <x:f>MAX(K91-Z91,0)</x:f>
        <x:v>0</x:v>
      </x:c>
      <x:c r="M91" s="10" t="n">
        <x:f>IF(P91=0,0,MIN(Q91/P91,1))</x:f>
        <x:v>0.35059681247880636</x:v>
      </x:c>
      <x:c r="N91" s="10" t="n">
        <x:f>ROUND(MIN(R91,'参数'!$B$11)/'参数'!$B$11*'参数'!$B$2+S91/100*'参数'!$B$3+T91*'参数'!$B$4+U91*'参数'!$B$5+MIN(V91,'参数'!$B$12)/'参数'!$B$12*'参数'!$B$6+W91/100*'参数'!$B$7,'参数'!$B$13)</x:f>
        <x:v>0.652663</x:v>
      </x:c>
      <x:c r="O91" s="7"/>
      <x:c r="P91" s="7" t="n">
        <x:v>1621950</x:v>
      </x:c>
      <x:c r="Q91" s="7" t="n">
        <x:v>568650.5</x:v>
      </x:c>
      <x:c r="R91" s="11" t="n">
        <x:v>6</x:v>
      </x:c>
      <x:c r="S91" s="7" t="n">
        <x:v>82</x:v>
      </x:c>
      <x:c r="T91" s="10" t="n">
        <x:v>0.6666666666666666</x:v>
      </x:c>
      <x:c r="U91" s="10" t="n">
        <x:v>0.4505416666666667</x:v>
      </x:c>
      <x:c r="V91" s="11" t="n">
        <x:v>4</x:v>
      </x:c>
      <x:c r="W91" s="11" t="n">
        <x:v>69</x:v>
      </x:c>
      <x:c r="X91" s="11"/>
      <x:c r="Y91" s="7" t="str">
        <x:v>负责人评分</x:v>
      </x:c>
      <x:c r="Z91" s="7" t="n">
        <x:f>ROUND(H91*M91,2)</x:f>
        <x:v>6509.93</x:v>
      </x:c>
      <x:c r="AA91" s="7" t="n">
        <x:v>6509.93</x:v>
      </x:c>
      <x:c r="AB91" s="7" t="n">
        <x:v>12058.2</x:v>
      </x:c>
      <x:c r="AC91" s="10" t="n">
        <x:v>0.652663</x:v>
      </x:c>
      <x:c r="AD91" s="7" t="n">
        <x:f>ROUND(I91-AA91,2)</x:f>
        <x:v>0</x:v>
      </x:c>
      <x:c r="AE91" s="10" t="n">
        <x:f>ROUND(N91-AC91,6)</x:f>
        <x:v>0</x:v>
      </x:c>
    </x:row>
    <x:row r="92" ht="22" customHeight="1">
      <x:c r="A92" s="7" t="str">
        <x:v>PROCESS</x:v>
      </x:c>
      <x:c r="B92" s="7" t="str">
        <x:v>R0</x:v>
      </x:c>
      <x:c r="C92" s="7" t="str">
        <x:v>Q3</x:v>
      </x:c>
      <x:c r="D92" s="7" t="str">
        <x:v>D02</x:v>
      </x:c>
      <x:c r="E92" s="7" t="str">
        <x:v>G04</x:v>
      </x:c>
      <x:c r="F92" s="7" t="str">
        <x:v>E015</x:v>
      </x:c>
      <x:c r="G92" s="7" t="str">
        <x:v>样例员工15</x:v>
      </x:c>
      <x:c r="H92" s="7" t="n">
        <x:v>22689.85</x:v>
      </x:c>
      <x:c r="I92" s="7" t="n">
        <x:f>MAX(Z92-K92,0)</x:f>
        <x:v>8427.79</x:v>
      </x:c>
      <x:c r="J92" s="7" t="n">
        <x:f>H92-Z92</x:f>
        <x:v>14262.059999999998</x:v>
      </x:c>
      <x:c r="K92" s="7" t="n">
        <x:v>0</x:v>
      </x:c>
      <x:c r="L92" s="7" t="n">
        <x:f>MAX(K92-Z92,0)</x:f>
        <x:v>0</x:v>
      </x:c>
      <x:c r="M92" s="10" t="n">
        <x:f>IF(P92=0,0,MIN(Q92/P92,1))</x:f>
        <x:v>0.37143422377823604</x:v>
      </x:c>
      <x:c r="N92" s="10" t="n">
        <x:f>ROUND(MIN(R92,'参数'!$B$11)/'参数'!$B$11*'参数'!$B$2+S92/100*'参数'!$B$3+T92*'参数'!$B$4+U92*'参数'!$B$5+MIN(V92,'参数'!$B$12)/'参数'!$B$12*'参数'!$B$6+W92/100*'参数'!$B$7,'参数'!$B$13)</x:f>
        <x:v>0.79754</x:v>
      </x:c>
      <x:c r="O92" s="7"/>
      <x:c r="P92" s="7" t="n">
        <x:v>2293610</x:v>
      </x:c>
      <x:c r="Q92" s="7" t="n">
        <x:v>851925.25</x:v>
      </x:c>
      <x:c r="R92" s="11" t="n">
        <x:v>3</x:v>
      </x:c>
      <x:c r="S92" s="7" t="n">
        <x:v>85</x:v>
      </x:c>
      <x:c r="T92" s="10" t="n">
        <x:v>0.575591985428051</x:v>
      </x:c>
      <x:c r="U92" s="10" t="n">
        <x:v>0.9556708333333334</x:v>
      </x:c>
      <x:c r="V92" s="11" t="n">
        <x:v>5</x:v>
      </x:c>
      <x:c r="W92" s="11" t="n">
        <x:v>88</x:v>
      </x:c>
      <x:c r="X92" s="11"/>
      <x:c r="Y92" s="7" t="str">
        <x:v>负责人评分</x:v>
      </x:c>
      <x:c r="Z92" s="7" t="n">
        <x:f>ROUND(H92*M92,2)</x:f>
        <x:v>8427.79</x:v>
      </x:c>
      <x:c r="AA92" s="7" t="n">
        <x:v>8427.79</x:v>
      </x:c>
      <x:c r="AB92" s="7" t="n">
        <x:v>14262.06</x:v>
      </x:c>
      <x:c r="AC92" s="10" t="n">
        <x:v>0.79754</x:v>
      </x:c>
      <x:c r="AD92" s="7" t="n">
        <x:f>ROUND(I92-AA92,2)</x:f>
        <x:v>0</x:v>
      </x:c>
      <x:c r="AE92" s="10" t="n">
        <x:f>ROUND(N92-AC92,6)</x:f>
        <x:v>0</x:v>
      </x:c>
    </x:row>
    <x:row r="93" ht="22" customHeight="1">
      <x:c r="A93" s="7" t="str">
        <x:v>PROCESS</x:v>
      </x:c>
      <x:c r="B93" s="7" t="str">
        <x:v>R0</x:v>
      </x:c>
      <x:c r="C93" s="7" t="str">
        <x:v>Q3</x:v>
      </x:c>
      <x:c r="D93" s="7" t="str">
        <x:v>D02</x:v>
      </x:c>
      <x:c r="E93" s="7" t="str">
        <x:v>G04</x:v>
      </x:c>
      <x:c r="F93" s="7" t="str">
        <x:v>E016</x:v>
      </x:c>
      <x:c r="G93" s="7" t="str">
        <x:v>样例员工16</x:v>
      </x:c>
      <x:c r="H93" s="7" t="n">
        <x:v>19559.23</x:v>
      </x:c>
      <x:c r="I93" s="7" t="n">
        <x:f>MAX(Z93-K93,0)</x:f>
        <x:v>7730.22</x:v>
      </x:c>
      <x:c r="J93" s="7" t="n">
        <x:f>H93-Z93</x:f>
        <x:v>11829.009999999998</x:v>
      </x:c>
      <x:c r="K93" s="7" t="n">
        <x:v>0</x:v>
      </x:c>
      <x:c r="L93" s="7" t="n">
        <x:f>MAX(K93-Z93,0)</x:f>
        <x:v>0</x:v>
      </x:c>
      <x:c r="M93" s="10" t="n">
        <x:f>IF(P93=0,0,MIN(Q93/P93,1))</x:f>
        <x:v>0.3952212343636928</x:v>
      </x:c>
      <x:c r="N93" s="10" t="n">
        <x:f>ROUND(MIN(R93,'参数'!$B$11)/'参数'!$B$11*'参数'!$B$2+S93/100*'参数'!$B$3+T93*'参数'!$B$4+U93*'参数'!$B$5+MIN(V93,'参数'!$B$12)/'参数'!$B$12*'参数'!$B$6+W93/100*'参数'!$B$7,'参数'!$B$13)</x:f>
        <x:v>0.6875</x:v>
      </x:c>
      <x:c r="O93" s="7"/>
      <x:c r="P93" s="7" t="n">
        <x:v>2128060</x:v>
      </x:c>
      <x:c r="Q93" s="7" t="n">
        <x:v>841054.5</x:v>
      </x:c>
      <x:c r="R93" s="11" t="n">
        <x:v>0</x:v>
      </x:c>
      <x:c r="S93" s="7" t="n">
        <x:v>63</x:v>
      </x:c>
      <x:c r="T93" s="10" t="n">
        <x:v>0.6666666666666666</x:v>
      </x:c>
      <x:c r="U93" s="10" t="n">
        <x:v>1</x:v>
      </x:c>
      <x:c r="V93" s="11" t="n">
        <x:v>5</x:v>
      </x:c>
      <x:c r="W93" s="11" t="n">
        <x:v>66</x:v>
      </x:c>
      <x:c r="X93" s="11"/>
      <x:c r="Y93" s="7" t="str">
        <x:v>负责人评分</x:v>
      </x:c>
      <x:c r="Z93" s="7" t="n">
        <x:f>ROUND(H93*M93,2)</x:f>
        <x:v>7730.22</x:v>
      </x:c>
      <x:c r="AA93" s="7" t="n">
        <x:v>7730.22</x:v>
      </x:c>
      <x:c r="AB93" s="7" t="n">
        <x:v>11829.01</x:v>
      </x:c>
      <x:c r="AC93" s="10" t="n">
        <x:v>0.6875</x:v>
      </x:c>
      <x:c r="AD93" s="7" t="n">
        <x:f>ROUND(I93-AA93,2)</x:f>
        <x:v>0</x:v>
      </x:c>
      <x:c r="AE93" s="10" t="n">
        <x:f>ROUND(N93-AC93,6)</x:f>
        <x:v>0</x:v>
      </x:c>
    </x:row>
    <x:row r="94" ht="22" customHeight="1">
      <x:c r="A94" s="7" t="str">
        <x:v>PROCESS</x:v>
      </x:c>
      <x:c r="B94" s="7" t="str">
        <x:v>R0</x:v>
      </x:c>
      <x:c r="C94" s="7" t="str">
        <x:v>Q3</x:v>
      </x:c>
      <x:c r="D94" s="7" t="str">
        <x:v>D02</x:v>
      </x:c>
      <x:c r="E94" s="7" t="str">
        <x:v>G05</x:v>
      </x:c>
      <x:c r="F94" s="7" t="str">
        <x:v>E017</x:v>
      </x:c>
      <x:c r="G94" s="7" t="str">
        <x:v>样例员工17</x:v>
      </x:c>
      <x:c r="H94" s="7" t="n">
        <x:v>15280.96</x:v>
      </x:c>
      <x:c r="I94" s="7" t="n">
        <x:f>MAX(Z94-K94,0)</x:f>
        <x:v>5904.27</x:v>
      </x:c>
      <x:c r="J94" s="7" t="n">
        <x:f>H94-Z94</x:f>
        <x:v>9376.689999999999</x:v>
      </x:c>
      <x:c r="K94" s="7" t="n">
        <x:v>0</x:v>
      </x:c>
      <x:c r="L94" s="7" t="n">
        <x:f>MAX(K94-Z94,0)</x:f>
        <x:v>0</x:v>
      </x:c>
      <x:c r="M94" s="10" t="n">
        <x:f>IF(P94=0,0,MIN(Q94/P94,1))</x:f>
        <x:v>0.3863811161481944</x:v>
      </x:c>
      <x:c r="N94" s="10" t="n">
        <x:f>ROUND(MIN(R94,'参数'!$B$11)/'参数'!$B$11*'参数'!$B$2+S94/100*'参数'!$B$3+T94*'参数'!$B$4+U94*'参数'!$B$5+MIN(V94,'参数'!$B$12)/'参数'!$B$12*'参数'!$B$6+W94/100*'参数'!$B$7,'参数'!$B$13)</x:f>
        <x:v>0.641298</x:v>
      </x:c>
      <x:c r="O94" s="7"/>
      <x:c r="P94" s="7" t="n">
        <x:v>1407340</x:v>
      </x:c>
      <x:c r="Q94" s="7" t="n">
        <x:v>543769.6</x:v>
      </x:c>
      <x:c r="R94" s="11" t="n">
        <x:v>9</x:v>
      </x:c>
      <x:c r="S94" s="7" t="n">
        <x:v>84</x:v>
      </x:c>
      <x:c r="T94" s="10" t="n">
        <x:v>0.5760869565217391</x:v>
      </x:c>
      <x:c r="U94" s="10" t="n">
        <x:v>0.3829496598639456</x:v>
      </x:c>
      <x:c r="V94" s="11" t="n">
        <x:v>5</x:v>
      </x:c>
      <x:c r="W94" s="11" t="n">
        <x:v>73</x:v>
      </x:c>
      <x:c r="X94" s="11"/>
      <x:c r="Y94" s="7" t="str">
        <x:v>负责人评分</x:v>
      </x:c>
      <x:c r="Z94" s="7" t="n">
        <x:f>ROUND(H94*M94,2)</x:f>
        <x:v>5904.27</x:v>
      </x:c>
      <x:c r="AA94" s="7" t="n">
        <x:v>5904.27</x:v>
      </x:c>
      <x:c r="AB94" s="7" t="n">
        <x:v>9376.69</x:v>
      </x:c>
      <x:c r="AC94" s="10" t="n">
        <x:v>0.641298</x:v>
      </x:c>
      <x:c r="AD94" s="7" t="n">
        <x:f>ROUND(I94-AA94,2)</x:f>
        <x:v>0</x:v>
      </x:c>
      <x:c r="AE94" s="10" t="n">
        <x:f>ROUND(N94-AC94,6)</x:f>
        <x:v>0</x:v>
      </x:c>
    </x:row>
    <x:row r="95" ht="22" customHeight="1">
      <x:c r="A95" s="7" t="str">
        <x:v>PROCESS</x:v>
      </x:c>
      <x:c r="B95" s="7" t="str">
        <x:v>R0</x:v>
      </x:c>
      <x:c r="C95" s="7" t="str">
        <x:v>Q3</x:v>
      </x:c>
      <x:c r="D95" s="7" t="str">
        <x:v>D02</x:v>
      </x:c>
      <x:c r="E95" s="7" t="str">
        <x:v>G05</x:v>
      </x:c>
      <x:c r="F95" s="7" t="str">
        <x:v>E018</x:v>
      </x:c>
      <x:c r="G95" s="7" t="str">
        <x:v>样例员工18</x:v>
      </x:c>
      <x:c r="H95" s="7" t="n">
        <x:v>15843.87</x:v>
      </x:c>
      <x:c r="I95" s="7" t="n">
        <x:f>MAX(Z95-K95,0)</x:f>
        <x:v>6003.82</x:v>
      </x:c>
      <x:c r="J95" s="7" t="n">
        <x:f>H95-Z95</x:f>
        <x:v>9840.050000000001</x:v>
      </x:c>
      <x:c r="K95" s="7" t="n">
        <x:v>0</x:v>
      </x:c>
      <x:c r="L95" s="7" t="n">
        <x:f>MAX(K95-Z95,0)</x:f>
        <x:v>0</x:v>
      </x:c>
      <x:c r="M95" s="10" t="n">
        <x:f>IF(P95=0,0,MIN(Q95/P95,1))</x:f>
        <x:v>0.37893638081526143</x:v>
      </x:c>
      <x:c r="N95" s="10" t="n">
        <x:f>ROUND(MIN(R95,'参数'!$B$11)/'参数'!$B$11*'参数'!$B$2+S95/100*'参数'!$B$3+T95*'参数'!$B$4+U95*'参数'!$B$5+MIN(V95,'参数'!$B$12)/'参数'!$B$12*'参数'!$B$6+W95/100*'参数'!$B$7,'参数'!$B$13)</x:f>
        <x:v>0.664922</x:v>
      </x:c>
      <x:c r="O95" s="7"/>
      <x:c r="P95" s="7" t="n">
        <x:v>1222430</x:v>
      </x:c>
      <x:c r="Q95" s="7" t="n">
        <x:v>463223.2</x:v>
      </x:c>
      <x:c r="R95" s="11" t="n">
        <x:v>6</x:v>
      </x:c>
      <x:c r="S95" s="7" t="n">
        <x:v>77</x:v>
      </x:c>
      <x:c r="T95" s="10" t="n">
        <x:v>0.6666666666666666</x:v>
      </x:c>
      <x:c r="U95" s="10" t="n">
        <x:v>0.38807301587301585</x:v>
      </x:c>
      <x:c r="V95" s="11" t="n">
        <x:v>5</x:v>
      </x:c>
      <x:c r="W95" s="11" t="n">
        <x:v>88</x:v>
      </x:c>
      <x:c r="X95" s="11"/>
      <x:c r="Y95" s="7" t="str">
        <x:v>负责人评分</x:v>
      </x:c>
      <x:c r="Z95" s="7" t="n">
        <x:f>ROUND(H95*M95,2)</x:f>
        <x:v>6003.82</x:v>
      </x:c>
      <x:c r="AA95" s="7" t="n">
        <x:v>6003.82</x:v>
      </x:c>
      <x:c r="AB95" s="7" t="n">
        <x:v>9840.05</x:v>
      </x:c>
      <x:c r="AC95" s="10" t="n">
        <x:v>0.664922</x:v>
      </x:c>
      <x:c r="AD95" s="7" t="n">
        <x:f>ROUND(I95-AA95,2)</x:f>
        <x:v>0</x:v>
      </x:c>
      <x:c r="AE95" s="10" t="n">
        <x:f>ROUND(N95-AC95,6)</x:f>
        <x:v>0</x:v>
      </x:c>
    </x:row>
    <x:row r="96" ht="22" customHeight="1">
      <x:c r="A96" s="7" t="str">
        <x:v>PROCESS</x:v>
      </x:c>
      <x:c r="B96" s="7" t="str">
        <x:v>R0</x:v>
      </x:c>
      <x:c r="C96" s="7" t="str">
        <x:v>Q3</x:v>
      </x:c>
      <x:c r="D96" s="7" t="str">
        <x:v>D02</x:v>
      </x:c>
      <x:c r="E96" s="7" t="str">
        <x:v>G05</x:v>
      </x:c>
      <x:c r="F96" s="7" t="str">
        <x:v>E019</x:v>
      </x:c>
      <x:c r="G96" s="7" t="str">
        <x:v>样例员工19</x:v>
      </x:c>
      <x:c r="H96" s="7" t="n">
        <x:v>15976.43</x:v>
      </x:c>
      <x:c r="I96" s="7" t="n">
        <x:f>MAX(Z96-K96,0)</x:f>
        <x:v>5656.84</x:v>
      </x:c>
      <x:c r="J96" s="7" t="n">
        <x:f>H96-Z96</x:f>
        <x:v>10319.59</x:v>
      </x:c>
      <x:c r="K96" s="7" t="n">
        <x:v>0</x:v>
      </x:c>
      <x:c r="L96" s="7" t="n">
        <x:f>MAX(K96-Z96,0)</x:f>
        <x:v>0</x:v>
      </x:c>
      <x:c r="M96" s="10" t="n">
        <x:f>IF(P96=0,0,MIN(Q96/P96,1))</x:f>
        <x:v>0.3540738846989646</x:v>
      </x:c>
      <x:c r="N96" s="10" t="n">
        <x:f>ROUND(MIN(R96,'参数'!$B$11)/'参数'!$B$11*'参数'!$B$2+S96/100*'参数'!$B$3+T96*'参数'!$B$4+U96*'参数'!$B$5+MIN(V96,'参数'!$B$12)/'参数'!$B$12*'参数'!$B$6+W96/100*'参数'!$B$7,'参数'!$B$13)</x:f>
        <x:v>0.670485</x:v>
      </x:c>
      <x:c r="O96" s="7"/>
      <x:c r="P96" s="7" t="n">
        <x:v>860530</x:v>
      </x:c>
      <x:c r="Q96" s="7" t="n">
        <x:v>304691.2</x:v>
      </x:c>
      <x:c r="R96" s="11" t="n">
        <x:v>3</x:v>
      </x:c>
      <x:c r="S96" s="7" t="n">
        <x:v>95</x:v>
      </x:c>
      <x:c r="T96" s="10" t="n">
        <x:v>0.8103448275862069</x:v>
      </x:c>
      <x:c r="U96" s="10" t="n">
        <x:v>0.40977619047619046</x:v>
      </x:c>
      <x:c r="V96" s="11" t="n">
        <x:v>4</x:v>
      </x:c>
      <x:c r="W96" s="11" t="n">
        <x:v>84</x:v>
      </x:c>
      <x:c r="X96" s="11"/>
      <x:c r="Y96" s="7" t="str">
        <x:v>负责人评分</x:v>
      </x:c>
      <x:c r="Z96" s="7" t="n">
        <x:f>ROUND(H96*M96,2)</x:f>
        <x:v>5656.84</x:v>
      </x:c>
      <x:c r="AA96" s="7" t="n">
        <x:v>5656.84</x:v>
      </x:c>
      <x:c r="AB96" s="7" t="n">
        <x:v>10319.59</x:v>
      </x:c>
      <x:c r="AC96" s="10" t="n">
        <x:v>0.670485</x:v>
      </x:c>
      <x:c r="AD96" s="7" t="n">
        <x:f>ROUND(I96-AA96,2)</x:f>
        <x:v>0</x:v>
      </x:c>
      <x:c r="AE96" s="10" t="n">
        <x:f>ROUND(N96-AC96,6)</x:f>
        <x:v>0</x:v>
      </x:c>
    </x:row>
    <x:row r="97" ht="22" customHeight="1">
      <x:c r="A97" s="7" t="str">
        <x:v>PROCESS</x:v>
      </x:c>
      <x:c r="B97" s="7" t="str">
        <x:v>R0</x:v>
      </x:c>
      <x:c r="C97" s="7" t="str">
        <x:v>Q3</x:v>
      </x:c>
      <x:c r="D97" s="7" t="str">
        <x:v>D02</x:v>
      </x:c>
      <x:c r="E97" s="7" t="str">
        <x:v>G05</x:v>
      </x:c>
      <x:c r="F97" s="7" t="str">
        <x:v>E020</x:v>
      </x:c>
      <x:c r="G97" s="7" t="str">
        <x:v>样例员工20</x:v>
      </x:c>
      <x:c r="H97" s="7" t="n">
        <x:v>14688.14</x:v>
      </x:c>
      <x:c r="I97" s="7" t="n">
        <x:f>MAX(Z97-K97,0)</x:f>
        <x:v>5071.21</x:v>
      </x:c>
      <x:c r="J97" s="7" t="n">
        <x:f>H97-Z97</x:f>
        <x:v>9616.93</x:v>
      </x:c>
      <x:c r="K97" s="7" t="n">
        <x:v>0</x:v>
      </x:c>
      <x:c r="L97" s="7" t="n">
        <x:f>MAX(K97-Z97,0)</x:f>
        <x:v>0</x:v>
      </x:c>
      <x:c r="M97" s="10" t="n">
        <x:f>IF(P97=0,0,MIN(Q97/P97,1))</x:f>
        <x:v>0.3452587117212249</x:v>
      </x:c>
      <x:c r="N97" s="10" t="n">
        <x:f>ROUND(MIN(R97,'参数'!$B$11)/'参数'!$B$11*'参数'!$B$2+S97/100*'参数'!$B$3+T97*'参数'!$B$4+U97*'参数'!$B$5+MIN(V97,'参数'!$B$12)/'参数'!$B$12*'参数'!$B$6+W97/100*'参数'!$B$7,'参数'!$B$13)</x:f>
        <x:v>0.616419</x:v>
      </x:c>
      <x:c r="O97" s="7"/>
      <x:c r="P97" s="7" t="n">
        <x:v>1041700</x:v>
      </x:c>
      <x:c r="Q97" s="7" t="n">
        <x:v>359656</x:v>
      </x:c>
      <x:c r="R97" s="11" t="n">
        <x:v>0</x:v>
      </x:c>
      <x:c r="S97" s="7" t="n">
        <x:v>74</x:v>
      </x:c>
      <x:c r="T97" s="10" t="n">
        <x:v>0.6666666666666666</x:v>
      </x:c>
      <x:c r="U97" s="10" t="n">
        <x:v>0.6613968253968254</x:v>
      </x:c>
      <x:c r="V97" s="11" t="n">
        <x:v>4</x:v>
      </x:c>
      <x:c r="W97" s="11" t="n">
        <x:v>80</x:v>
      </x:c>
      <x:c r="X97" s="11"/>
      <x:c r="Y97" s="7" t="str">
        <x:v>负责人评分</x:v>
      </x:c>
      <x:c r="Z97" s="7" t="n">
        <x:f>ROUND(H97*M97,2)</x:f>
        <x:v>5071.21</x:v>
      </x:c>
      <x:c r="AA97" s="7" t="n">
        <x:v>5071.21</x:v>
      </x:c>
      <x:c r="AB97" s="7" t="n">
        <x:v>9616.93</x:v>
      </x:c>
      <x:c r="AC97" s="10" t="n">
        <x:v>0.616419</x:v>
      </x:c>
      <x:c r="AD97" s="7" t="n">
        <x:f>ROUND(I97-AA97,2)</x:f>
        <x:v>0</x:v>
      </x:c>
      <x:c r="AE97" s="10" t="n">
        <x:f>ROUND(N97-AC97,6)</x:f>
        <x:v>0</x:v>
      </x:c>
    </x:row>
    <x:row r="98" ht="22" customHeight="1">
      <x:c r="A98" s="7" t="str">
        <x:v>PROCESS</x:v>
      </x:c>
      <x:c r="B98" s="7" t="str">
        <x:v>R0</x:v>
      </x:c>
      <x:c r="C98" s="7" t="str">
        <x:v>Q3</x:v>
      </x:c>
      <x:c r="D98" s="7" t="str">
        <x:v>D02</x:v>
      </x:c>
      <x:c r="E98" s="7" t="str">
        <x:v>G06</x:v>
      </x:c>
      <x:c r="F98" s="7" t="str">
        <x:v>E021</x:v>
      </x:c>
      <x:c r="G98" s="7" t="str">
        <x:v>样例员工21</x:v>
      </x:c>
      <x:c r="H98" s="7" t="n">
        <x:v>21590.23</x:v>
      </x:c>
      <x:c r="I98" s="7" t="n">
        <x:f>MAX(Z98-K98,0)</x:f>
        <x:v>0</x:v>
      </x:c>
      <x:c r="J98" s="7" t="n">
        <x:f>H98-Z98</x:f>
        <x:v>21590.23</x:v>
      </x:c>
      <x:c r="K98" s="7" t="n">
        <x:v>0</x:v>
      </x:c>
      <x:c r="L98" s="7" t="n">
        <x:f>MAX(K98-Z98,0)</x:f>
        <x:v>0</x:v>
      </x:c>
      <x:c r="M98" s="10" t="n">
        <x:f>IF(P98=0,0,MIN(Q98/P98,1))</x:f>
        <x:v>0</x:v>
      </x:c>
      <x:c r="N98" s="10" t="n">
        <x:f>ROUND(MIN(R98,'参数'!$B$11)/'参数'!$B$11*'参数'!$B$2+S98/100*'参数'!$B$3+T98*'参数'!$B$4+U98*'参数'!$B$5+MIN(V98,'参数'!$B$12)/'参数'!$B$12*'参数'!$B$6+W98/100*'参数'!$B$7,'参数'!$B$13)</x:f>
        <x:v>0.706681</x:v>
      </x:c>
      <x:c r="O98" s="7"/>
      <x:c r="P98" s="7" t="n">
        <x:v>1474330</x:v>
      </x:c>
      <x:c r="Q98" s="7" t="n">
        <x:v>0</x:v>
      </x:c>
      <x:c r="R98" s="11" t="n">
        <x:v>9</x:v>
      </x:c>
      <x:c r="S98" s="7" t="n">
        <x:v>84</x:v>
      </x:c>
      <x:c r="T98" s="10" t="n">
        <x:v>0.807909604519774</x:v>
      </x:c>
      <x:c r="U98" s="10" t="n">
        <x:v>0.5616495238095238</x:v>
      </x:c>
      <x:c r="V98" s="11" t="n">
        <x:v>4</x:v>
      </x:c>
      <x:c r="W98" s="11" t="n">
        <x:v>66</x:v>
      </x:c>
      <x:c r="X98" s="11"/>
      <x:c r="Y98" s="7" t="str">
        <x:v>负责人评分</x:v>
      </x:c>
      <x:c r="Z98" s="7" t="n">
        <x:f>ROUND(H98*M98,2)</x:f>
        <x:v>0</x:v>
      </x:c>
      <x:c r="AA98" s="7" t="n">
        <x:v>0</x:v>
      </x:c>
      <x:c r="AB98" s="7" t="n">
        <x:v>21590.23</x:v>
      </x:c>
      <x:c r="AC98" s="10" t="n">
        <x:v>0.706681</x:v>
      </x:c>
      <x:c r="AD98" s="7" t="n">
        <x:f>ROUND(I98-AA98,2)</x:f>
        <x:v>0</x:v>
      </x:c>
      <x:c r="AE98" s="10" t="n">
        <x:f>ROUND(N98-AC98,6)</x:f>
        <x:v>0</x:v>
      </x:c>
    </x:row>
    <x:row r="99" ht="22" customHeight="1">
      <x:c r="A99" s="7" t="str">
        <x:v>PROCESS</x:v>
      </x:c>
      <x:c r="B99" s="7" t="str">
        <x:v>R0</x:v>
      </x:c>
      <x:c r="C99" s="7" t="str">
        <x:v>Q3</x:v>
      </x:c>
      <x:c r="D99" s="7" t="str">
        <x:v>D02</x:v>
      </x:c>
      <x:c r="E99" s="7" t="str">
        <x:v>G06</x:v>
      </x:c>
      <x:c r="F99" s="7" t="str">
        <x:v>E022</x:v>
      </x:c>
      <x:c r="G99" s="7" t="str">
        <x:v>样例员工22</x:v>
      </x:c>
      <x:c r="H99" s="7" t="n">
        <x:v>22314.48</x:v>
      </x:c>
      <x:c r="I99" s="7" t="n">
        <x:f>MAX(Z99-K99,0)</x:f>
        <x:v>0</x:v>
      </x:c>
      <x:c r="J99" s="7" t="n">
        <x:f>H99-Z99</x:f>
        <x:v>22314.48</x:v>
      </x:c>
      <x:c r="K99" s="7" t="n">
        <x:v>0</x:v>
      </x:c>
      <x:c r="L99" s="7" t="n">
        <x:f>MAX(K99-Z99,0)</x:f>
        <x:v>0</x:v>
      </x:c>
      <x:c r="M99" s="10" t="n">
        <x:f>IF(P99=0,0,MIN(Q99/P99,1))</x:f>
        <x:v>0</x:v>
      </x:c>
      <x:c r="N99" s="10" t="n">
        <x:f>ROUND(MIN(R99,'参数'!$B$11)/'参数'!$B$11*'参数'!$B$2+S99/100*'参数'!$B$3+T99*'参数'!$B$4+U99*'参数'!$B$5+MIN(V99,'参数'!$B$12)/'参数'!$B$12*'参数'!$B$6+W99/100*'参数'!$B$7,'参数'!$B$13)</x:f>
        <x:v>0.730387</x:v>
      </x:c>
      <x:c r="O99" s="7"/>
      <x:c r="P99" s="7" t="n">
        <x:v>1761650</x:v>
      </x:c>
      <x:c r="Q99" s="7" t="n">
        <x:v>0</x:v>
      </x:c>
      <x:c r="R99" s="11" t="n">
        <x:v>6</x:v>
      </x:c>
      <x:c r="S99" s="7" t="n">
        <x:v>65</x:v>
      </x:c>
      <x:c r="T99" s="10" t="n">
        <x:v>0.6666666666666666</x:v>
      </x:c>
      <x:c r="U99" s="10" t="n">
        <x:v>0.7829555555555555</x:v>
      </x:c>
      <x:c r="V99" s="11" t="n">
        <x:v>4</x:v>
      </x:c>
      <x:c r="W99" s="11" t="n">
        <x:v>77</x:v>
      </x:c>
      <x:c r="X99" s="11"/>
      <x:c r="Y99" s="7" t="str">
        <x:v>负责人评分</x:v>
      </x:c>
      <x:c r="Z99" s="7" t="n">
        <x:f>ROUND(H99*M99,2)</x:f>
        <x:v>0</x:v>
      </x:c>
      <x:c r="AA99" s="7" t="n">
        <x:v>0</x:v>
      </x:c>
      <x:c r="AB99" s="7" t="n">
        <x:v>22314.48</x:v>
      </x:c>
      <x:c r="AC99" s="10" t="n">
        <x:v>0.730387</x:v>
      </x:c>
      <x:c r="AD99" s="7" t="n">
        <x:f>ROUND(I99-AA99,2)</x:f>
        <x:v>0</x:v>
      </x:c>
      <x:c r="AE99" s="10" t="n">
        <x:f>ROUND(N99-AC99,6)</x:f>
        <x:v>0</x:v>
      </x:c>
    </x:row>
    <x:row r="100" ht="22" customHeight="1">
      <x:c r="A100" s="7" t="str">
        <x:v>PROCESS</x:v>
      </x:c>
      <x:c r="B100" s="7" t="str">
        <x:v>R0</x:v>
      </x:c>
      <x:c r="C100" s="7" t="str">
        <x:v>Q3</x:v>
      </x:c>
      <x:c r="D100" s="7" t="str">
        <x:v>D02</x:v>
      </x:c>
      <x:c r="E100" s="7" t="str">
        <x:v>G06</x:v>
      </x:c>
      <x:c r="F100" s="7" t="str">
        <x:v>E023</x:v>
      </x:c>
      <x:c r="G100" s="7" t="str">
        <x:v>样例员工23</x:v>
      </x:c>
      <x:c r="H100" s="7" t="n">
        <x:v>25582.03</x:v>
      </x:c>
      <x:c r="I100" s="7" t="n">
        <x:f>MAX(Z100-K100,0)</x:f>
        <x:v>0</x:v>
      </x:c>
      <x:c r="J100" s="7" t="n">
        <x:f>H100-Z100</x:f>
        <x:v>25582.03</x:v>
      </x:c>
      <x:c r="K100" s="7" t="n">
        <x:v>0</x:v>
      </x:c>
      <x:c r="L100" s="7" t="n">
        <x:f>MAX(K100-Z100,0)</x:f>
        <x:v>0</x:v>
      </x:c>
      <x:c r="M100" s="10" t="n">
        <x:f>IF(P100=0,0,MIN(Q100/P100,1))</x:f>
        <x:v>0</x:v>
      </x:c>
      <x:c r="N100" s="10" t="n">
        <x:f>ROUND(MIN(R100,'参数'!$B$11)/'参数'!$B$11*'参数'!$B$2+S100/100*'参数'!$B$3+T100*'参数'!$B$4+U100*'参数'!$B$5+MIN(V100,'参数'!$B$12)/'参数'!$B$12*'参数'!$B$6+W100/100*'参数'!$B$7,'参数'!$B$13)</x:f>
        <x:v>0.837339</x:v>
      </x:c>
      <x:c r="O100" s="7"/>
      <x:c r="P100" s="7" t="n">
        <x:v>2075810</x:v>
      </x:c>
      <x:c r="Q100" s="7" t="n">
        <x:v>0</x:v>
      </x:c>
      <x:c r="R100" s="11" t="n">
        <x:v>3</x:v>
      </x:c>
      <x:c r="S100" s="7" t="n">
        <x:v>93</x:v>
      </x:c>
      <x:c r="T100" s="10" t="n">
        <x:v>0.575591985428051</x:v>
      </x:c>
      <x:c r="U100" s="10" t="n">
        <x:v>1</x:v>
      </x:c>
      <x:c r="V100" s="11" t="n">
        <x:v>5</x:v>
      </x:c>
      <x:c r="W100" s="11" t="n">
        <x:v>95</x:v>
      </x:c>
      <x:c r="X100" s="11"/>
      <x:c r="Y100" s="7" t="str">
        <x:v>负责人评分</x:v>
      </x:c>
      <x:c r="Z100" s="7" t="n">
        <x:f>ROUND(H100*M100,2)</x:f>
        <x:v>0</x:v>
      </x:c>
      <x:c r="AA100" s="7" t="n">
        <x:v>0</x:v>
      </x:c>
      <x:c r="AB100" s="7" t="n">
        <x:v>25582.03</x:v>
      </x:c>
      <x:c r="AC100" s="10" t="n">
        <x:v>0.837339</x:v>
      </x:c>
      <x:c r="AD100" s="7" t="n">
        <x:f>ROUND(I100-AA100,2)</x:f>
        <x:v>0</x:v>
      </x:c>
      <x:c r="AE100" s="10" t="n">
        <x:f>ROUND(N100-AC100,6)</x:f>
        <x:v>0</x:v>
      </x:c>
    </x:row>
    <x:row r="101" ht="22" customHeight="1">
      <x:c r="A101" s="7" t="str">
        <x:v>PROCESS</x:v>
      </x:c>
      <x:c r="B101" s="7" t="str">
        <x:v>R0</x:v>
      </x:c>
      <x:c r="C101" s="7" t="str">
        <x:v>Q3</x:v>
      </x:c>
      <x:c r="D101" s="7" t="str">
        <x:v>D02</x:v>
      </x:c>
      <x:c r="E101" s="7" t="str">
        <x:v>G06</x:v>
      </x:c>
      <x:c r="F101" s="7" t="str">
        <x:v>E024</x:v>
      </x:c>
      <x:c r="G101" s="7" t="str">
        <x:v>样例员工24</x:v>
      </x:c>
      <x:c r="H101" s="7" t="n">
        <x:v>21890.21</x:v>
      </x:c>
      <x:c r="I101" s="7" t="n">
        <x:f>MAX(Z101-K101,0)</x:f>
        <x:v>0</x:v>
      </x:c>
      <x:c r="J101" s="7" t="n">
        <x:f>H101-Z101</x:f>
        <x:v>21890.21</x:v>
      </x:c>
      <x:c r="K101" s="7" t="n">
        <x:v>0</x:v>
      </x:c>
      <x:c r="L101" s="7" t="n">
        <x:f>MAX(K101-Z101,0)</x:f>
        <x:v>0</x:v>
      </x:c>
      <x:c r="M101" s="10" t="n">
        <x:f>IF(P101=0,0,MIN(Q101/P101,1))</x:f>
        <x:v>0</x:v>
      </x:c>
      <x:c r="N101" s="10" t="n">
        <x:f>ROUND(MIN(R101,'参数'!$B$11)/'参数'!$B$11*'参数'!$B$2+S101/100*'参数'!$B$3+T101*'参数'!$B$4+U101*'参数'!$B$5+MIN(V101,'参数'!$B$12)/'参数'!$B$12*'参数'!$B$6+W101/100*'参数'!$B$7,'参数'!$B$13)</x:f>
        <x:v>0.7165</x:v>
      </x:c>
      <x:c r="O101" s="7"/>
      <x:c r="P101" s="7" t="n">
        <x:v>2014210</x:v>
      </x:c>
      <x:c r="Q101" s="7" t="n">
        <x:v>0</x:v>
      </x:c>
      <x:c r="R101" s="11" t="n">
        <x:v>0</x:v>
      </x:c>
      <x:c r="S101" s="7" t="n">
        <x:v>76</x:v>
      </x:c>
      <x:c r="T101" s="10" t="n">
        <x:v>0.6666666666666666</x:v>
      </x:c>
      <x:c r="U101" s="10" t="n">
        <x:v>1</x:v>
      </x:c>
      <x:c r="V101" s="11" t="n">
        <x:v>5</x:v>
      </x:c>
      <x:c r="W101" s="11" t="n">
        <x:v>68</x:v>
      </x:c>
      <x:c r="X101" s="11"/>
      <x:c r="Y101" s="7" t="str">
        <x:v>负责人评分</x:v>
      </x:c>
      <x:c r="Z101" s="7" t="n">
        <x:f>ROUND(H101*M101,2)</x:f>
        <x:v>0</x:v>
      </x:c>
      <x:c r="AA101" s="7" t="n">
        <x:v>0</x:v>
      </x:c>
      <x:c r="AB101" s="7" t="n">
        <x:v>21890.21</x:v>
      </x:c>
      <x:c r="AC101" s="10" t="n">
        <x:v>0.7165</x:v>
      </x:c>
      <x:c r="AD101" s="7" t="n">
        <x:f>ROUND(I101-AA101,2)</x:f>
        <x:v>0</x:v>
      </x:c>
      <x:c r="AE101" s="10" t="n">
        <x:f>ROUND(N101-AC101,6)</x:f>
        <x:v>0</x:v>
      </x:c>
    </x:row>
    <x:row r="102" ht="22" customHeight="1">
      <x:c r="A102" s="7" t="str">
        <x:v>ANNUAL</x:v>
      </x:c>
      <x:c r="B102" s="7" t="str">
        <x:v>R0</x:v>
      </x:c>
      <x:c r="C102" s="7" t="str">
        <x:v>FY</x:v>
      </x:c>
      <x:c r="D102" s="7" t="str">
        <x:v>D01</x:v>
      </x:c>
      <x:c r="E102" s="7" t="str">
        <x:v>G01</x:v>
      </x:c>
      <x:c r="F102" s="7" t="str">
        <x:v>E001</x:v>
      </x:c>
      <x:c r="G102" s="7" t="str">
        <x:v>样例员工01</x:v>
      </x:c>
      <x:c r="H102" s="7" t="n">
        <x:v>579917</x:v>
      </x:c>
      <x:c r="I102" s="7" t="n">
        <x:f>MAX(Z102-K102,0)</x:f>
        <x:v>0</x:v>
      </x:c>
      <x:c r="J102" s="7" t="n">
        <x:f>H102-Z102</x:f>
        <x:v>302059.76</x:v>
      </x:c>
      <x:c r="K102" s="7" t="n">
        <x:v>359099.27</x:v>
      </x:c>
      <x:c r="L102" s="7" t="n">
        <x:f>MAX(K102-Z102,0)</x:f>
        <x:v>81242.03000000003</x:v>
      </x:c>
      <x:c r="M102" s="10" t="n">
        <x:f>IF(P102=0,0,MIN(Q102/P102,1))</x:f>
        <x:v>0.4791327754333131</x:v>
      </x:c>
      <x:c r="N102" s="10" t="n">
        <x:f>ROUND(MIN(R102,'参数'!$B$11)/'参数'!$B$11*'参数'!$B$2+S102/100*'参数'!$B$3+T102*'参数'!$B$4+U102*'参数'!$B$5+MIN(V102,'参数'!$B$12)/'参数'!$B$12*'参数'!$B$6+W102/100*'参数'!$B$7,'参数'!$B$13)</x:f>
        <x:v>0.669492</x:v>
      </x:c>
      <x:c r="O102" s="7"/>
      <x:c r="P102" s="7" t="n">
        <x:v>9151580</x:v>
      </x:c>
      <x:c r="Q102" s="7" t="n">
        <x:v>4384821.925</x:v>
      </x:c>
      <x:c r="R102" s="11" t="n">
        <x:v>9</x:v>
      </x:c>
      <x:c r="S102" s="7" t="n">
        <x:v>73</x:v>
      </x:c>
      <x:c r="T102" s="10" t="n">
        <x:v>0.5760869565217391</x:v>
      </x:c>
      <x:c r="U102" s="10" t="n">
        <x:v>0.6052632275132275</x:v>
      </x:c>
      <x:c r="V102" s="11" t="n">
        <x:v>5</x:v>
      </x:c>
      <x:c r="W102" s="11" t="n">
        <x:v>62</x:v>
      </x:c>
      <x:c r="X102" s="11" t="n">
        <x:v>91</x:v>
      </x:c>
      <x:c r="Y102" s="7" t="str">
        <x:v>AI建议经人工确认</x:v>
      </x:c>
      <x:c r="Z102" s="7" t="n">
        <x:f>ROUND(H102*M102,2)</x:f>
        <x:v>277857.24</x:v>
      </x:c>
      <x:c r="AA102" s="7" t="n">
        <x:v>0</x:v>
      </x:c>
      <x:c r="AB102" s="7" t="n">
        <x:v>302059.76</x:v>
      </x:c>
      <x:c r="AC102" s="10" t="n">
        <x:v>0.669492</x:v>
      </x:c>
      <x:c r="AD102" s="7" t="n">
        <x:f>ROUND(I102-AA102,2)</x:f>
        <x:v>0</x:v>
      </x:c>
      <x:c r="AE102" s="10" t="n">
        <x:f>ROUND(N102-AC102,6)</x:f>
        <x:v>0</x:v>
      </x:c>
    </x:row>
    <x:row r="103" ht="22" customHeight="1">
      <x:c r="A103" s="7" t="str">
        <x:v>ANNUAL</x:v>
      </x:c>
      <x:c r="B103" s="7" t="str">
        <x:v>R0</x:v>
      </x:c>
      <x:c r="C103" s="7" t="str">
        <x:v>FY</x:v>
      </x:c>
      <x:c r="D103" s="7" t="str">
        <x:v>D01</x:v>
      </x:c>
      <x:c r="E103" s="7" t="str">
        <x:v>G01</x:v>
      </x:c>
      <x:c r="F103" s="7" t="str">
        <x:v>E002</x:v>
      </x:c>
      <x:c r="G103" s="7" t="str">
        <x:v>样例员工02</x:v>
      </x:c>
      <x:c r="H103" s="7" t="n">
        <x:v>609823.57</x:v>
      </x:c>
      <x:c r="I103" s="7" t="n">
        <x:f>MAX(Z103-K103,0)</x:f>
        <x:v>195621.00999999998</x:v>
      </x:c>
      <x:c r="J103" s="7" t="n">
        <x:f>H103-Z103</x:f>
        <x:v>308558.41</x:v>
      </x:c>
      <x:c r="K103" s="7" t="n">
        <x:v>105644.15</x:v>
      </x:c>
      <x:c r="L103" s="7" t="n">
        <x:f>MAX(K103-Z103,0)</x:f>
        <x:v>0</x:v>
      </x:c>
      <x:c r="M103" s="10" t="n">
        <x:f>IF(P103=0,0,MIN(Q103/P103,1))</x:f>
        <x:v>0.4940201886639138</x:v>
      </x:c>
      <x:c r="N103" s="10" t="n">
        <x:f>ROUND(MIN(R103,'参数'!$B$11)/'参数'!$B$11*'参数'!$B$2+S103/100*'参数'!$B$3+T103*'参数'!$B$4+U103*'参数'!$B$5+MIN(V103,'参数'!$B$12)/'参数'!$B$12*'参数'!$B$6+W103/100*'参数'!$B$7,'参数'!$B$13)</x:f>
        <x:v>0.704018</x:v>
      </x:c>
      <x:c r="O103" s="7"/>
      <x:c r="P103" s="7" t="n">
        <x:v>8122380</x:v>
      </x:c>
      <x:c r="Q103" s="7" t="n">
        <x:v>4012619.7</x:v>
      </x:c>
      <x:c r="R103" s="11" t="n">
        <x:v>6</x:v>
      </x:c>
      <x:c r="S103" s="7" t="n">
        <x:v>60</x:v>
      </x:c>
      <x:c r="T103" s="10" t="n">
        <x:v>0.6666666666666666</x:v>
      </x:c>
      <x:c r="U103" s="10" t="n">
        <x:v>0.6267268518518518</x:v>
      </x:c>
      <x:c r="V103" s="11" t="n">
        <x:v>5</x:v>
      </x:c>
      <x:c r="W103" s="11" t="n">
        <x:v>89</x:v>
      </x:c>
      <x:c r="X103" s="11" t="n">
        <x:v>74</x:v>
      </x:c>
      <x:c r="Y103" s="7" t="str">
        <x:v>AI建议经人工确认</x:v>
      </x:c>
      <x:c r="Z103" s="7" t="n">
        <x:f>ROUND(H103*M103,2)</x:f>
        <x:v>301265.16</x:v>
      </x:c>
      <x:c r="AA103" s="7" t="n">
        <x:v>195621.01</x:v>
      </x:c>
      <x:c r="AB103" s="7" t="n">
        <x:v>308558.41</x:v>
      </x:c>
      <x:c r="AC103" s="10" t="n">
        <x:v>0.704018</x:v>
      </x:c>
      <x:c r="AD103" s="7" t="n">
        <x:f>ROUND(I103-AA103,2)</x:f>
        <x:v>0</x:v>
      </x:c>
      <x:c r="AE103" s="10" t="n">
        <x:f>ROUND(N103-AC103,6)</x:f>
        <x:v>0</x:v>
      </x:c>
    </x:row>
    <x:row r="104" ht="22" customHeight="1">
      <x:c r="A104" s="7" t="str">
        <x:v>ANNUAL</x:v>
      </x:c>
      <x:c r="B104" s="7" t="str">
        <x:v>R0</x:v>
      </x:c>
      <x:c r="C104" s="7" t="str">
        <x:v>FY</x:v>
      </x:c>
      <x:c r="D104" s="7" t="str">
        <x:v>D01</x:v>
      </x:c>
      <x:c r="E104" s="7" t="str">
        <x:v>G01</x:v>
      </x:c>
      <x:c r="F104" s="7" t="str">
        <x:v>E003</x:v>
      </x:c>
      <x:c r="G104" s="7" t="str">
        <x:v>样例员工03</x:v>
      </x:c>
      <x:c r="H104" s="7" t="n">
        <x:v>552578.71</x:v>
      </x:c>
      <x:c r="I104" s="7" t="n">
        <x:f>MAX(Z104-K104,0)</x:f>
        <x:v>184466.64</x:v>
      </x:c>
      <x:c r="J104" s="7" t="n">
        <x:f>H104-Z104</x:f>
        <x:v>271693.88999999996</x:v>
      </x:c>
      <x:c r="K104" s="7" t="n">
        <x:v>96418.18</x:v>
      </x:c>
      <x:c r="L104" s="7" t="n">
        <x:f>MAX(K104-Z104,0)</x:f>
        <x:v>0</x:v>
      </x:c>
      <x:c r="M104" s="10" t="n">
        <x:f>IF(P104=0,0,MIN(Q104/P104,1))</x:f>
        <x:v>0.508316403700341</x:v>
      </x:c>
      <x:c r="N104" s="10" t="n">
        <x:f>ROUND(MIN(R104,'参数'!$B$11)/'参数'!$B$11*'参数'!$B$2+S104/100*'参数'!$B$3+T104*'参数'!$B$4+U104*'参数'!$B$5+MIN(V104,'参数'!$B$12)/'参数'!$B$12*'参数'!$B$6+W104/100*'参数'!$B$7,'参数'!$B$13)</x:f>
        <x:v>0.637931</x:v>
      </x:c>
      <x:c r="O104" s="7"/>
      <x:c r="P104" s="7" t="n">
        <x:v>5094125</x:v>
      </x:c>
      <x:c r="Q104" s="7" t="n">
        <x:v>2589427.3</x:v>
      </x:c>
      <x:c r="R104" s="11" t="n">
        <x:v>3</x:v>
      </x:c>
      <x:c r="S104" s="7" t="n">
        <x:v>60</x:v>
      </x:c>
      <x:c r="T104" s="10" t="n">
        <x:v>0.8103448275862069</x:v>
      </x:c>
      <x:c r="U104" s="10" t="n">
        <x:v>0.589597800925926</x:v>
      </x:c>
      <x:c r="V104" s="11" t="n">
        <x:v>4</x:v>
      </x:c>
      <x:c r="W104" s="11" t="n">
        <x:v>73</x:v>
      </x:c>
      <x:c r="X104" s="11" t="n">
        <x:v>89</x:v>
      </x:c>
      <x:c r="Y104" s="7" t="str">
        <x:v>AI建议经人工确认</x:v>
      </x:c>
      <x:c r="Z104" s="7" t="n">
        <x:f>ROUND(H104*M104,2)</x:f>
        <x:v>280884.82</x:v>
      </x:c>
      <x:c r="AA104" s="7" t="n">
        <x:v>184466.64</x:v>
      </x:c>
      <x:c r="AB104" s="7" t="n">
        <x:v>271693.89</x:v>
      </x:c>
      <x:c r="AC104" s="10" t="n">
        <x:v>0.637931</x:v>
      </x:c>
      <x:c r="AD104" s="7" t="n">
        <x:f>ROUND(I104-AA104,2)</x:f>
        <x:v>0</x:v>
      </x:c>
      <x:c r="AE104" s="10" t="n">
        <x:f>ROUND(N104-AC104,6)</x:f>
        <x:v>0</x:v>
      </x:c>
    </x:row>
    <x:row r="105" ht="22" customHeight="1">
      <x:c r="A105" s="7" t="str">
        <x:v>ANNUAL</x:v>
      </x:c>
      <x:c r="B105" s="7" t="str">
        <x:v>R0</x:v>
      </x:c>
      <x:c r="C105" s="7" t="str">
        <x:v>FY</x:v>
      </x:c>
      <x:c r="D105" s="7" t="str">
        <x:v>D01</x:v>
      </x:c>
      <x:c r="E105" s="7" t="str">
        <x:v>G01</x:v>
      </x:c>
      <x:c r="F105" s="7" t="str">
        <x:v>E004</x:v>
      </x:c>
      <x:c r="G105" s="7" t="str">
        <x:v>样例员工04</x:v>
      </x:c>
      <x:c r="H105" s="7" t="n">
        <x:v>624879.07</x:v>
      </x:c>
      <x:c r="I105" s="7" t="n">
        <x:f>MAX(Z105-K105,0)</x:f>
        <x:v>223114.66000000003</x:v>
      </x:c>
      <x:c r="J105" s="7" t="n">
        <x:f>H105-Z105</x:f>
        <x:v>315131.48999999993</x:v>
      </x:c>
      <x:c r="K105" s="7" t="n">
        <x:v>86632.92</x:v>
      </x:c>
      <x:c r="L105" s="7" t="n">
        <x:f>MAX(K105-Z105,0)</x:f>
        <x:v>0</x:v>
      </x:c>
      <x:c r="M105" s="10" t="n">
        <x:f>IF(P105=0,0,MIN(Q105/P105,1))</x:f>
        <x:v>0.49569204550166124</x:v>
      </x:c>
      <x:c r="N105" s="10" t="n">
        <x:f>ROUND(MIN(R105,'参数'!$B$11)/'参数'!$B$11*'参数'!$B$2+S105/100*'参数'!$B$3+T105*'参数'!$B$4+U105*'参数'!$B$5+MIN(V105,'参数'!$B$12)/'参数'!$B$12*'参数'!$B$6+W105/100*'参数'!$B$7,'参数'!$B$13)</x:f>
        <x:v>0.721399</x:v>
      </x:c>
      <x:c r="O105" s="7"/>
      <x:c r="P105" s="7" t="n">
        <x:v>6391415</x:v>
      </x:c>
      <x:c r="Q105" s="7" t="n">
        <x:v>3168173.575</x:v>
      </x:c>
      <x:c r="R105" s="11" t="n">
        <x:v>0</x:v>
      </x:c>
      <x:c r="S105" s="7" t="n">
        <x:v>89</x:v>
      </x:c>
      <x:c r="T105" s="10" t="n">
        <x:v>0.6666666666666666</x:v>
      </x:c>
      <x:c r="U105" s="10" t="n">
        <x:v>0.986329475308642</x:v>
      </x:c>
      <x:c r="V105" s="11" t="n">
        <x:v>4</x:v>
      </x:c>
      <x:c r="W105" s="11" t="n">
        <x:v>65</x:v>
      </x:c>
      <x:c r="X105" s="11" t="n">
        <x:v>73</x:v>
      </x:c>
      <x:c r="Y105" s="7" t="str">
        <x:v>AI建议经人工确认</x:v>
      </x:c>
      <x:c r="Z105" s="7" t="n">
        <x:f>ROUND(H105*M105,2)</x:f>
        <x:v>309747.58</x:v>
      </x:c>
      <x:c r="AA105" s="7" t="n">
        <x:v>223114.66</x:v>
      </x:c>
      <x:c r="AB105" s="7" t="n">
        <x:v>315131.49</x:v>
      </x:c>
      <x:c r="AC105" s="10" t="n">
        <x:v>0.721399</x:v>
      </x:c>
      <x:c r="AD105" s="7" t="n">
        <x:f>ROUND(I105-AA105,2)</x:f>
        <x:v>0</x:v>
      </x:c>
      <x:c r="AE105" s="10" t="n">
        <x:f>ROUND(N105-AC105,6)</x:f>
        <x:v>0</x:v>
      </x:c>
    </x:row>
    <x:row r="106" ht="22" customHeight="1">
      <x:c r="A106" s="7" t="str">
        <x:v>ANNUAL</x:v>
      </x:c>
      <x:c r="B106" s="7" t="str">
        <x:v>R0</x:v>
      </x:c>
      <x:c r="C106" s="7" t="str">
        <x:v>FY</x:v>
      </x:c>
      <x:c r="D106" s="7" t="str">
        <x:v>D01</x:v>
      </x:c>
      <x:c r="E106" s="7" t="str">
        <x:v>G02</x:v>
      </x:c>
      <x:c r="F106" s="7" t="str">
        <x:v>E005</x:v>
      </x:c>
      <x:c r="G106" s="7" t="str">
        <x:v>样例员工05</x:v>
      </x:c>
      <x:c r="H106" s="7" t="n">
        <x:v>540952.9</x:v>
      </x:c>
      <x:c r="I106" s="7" t="n">
        <x:f>MAX(Z106-K106,0)</x:f>
        <x:v>192811.37</x:v>
      </x:c>
      <x:c r="J106" s="7" t="n">
        <x:f>H106-Z106</x:f>
        <x:v>284516.9</x:v>
      </x:c>
      <x:c r="K106" s="7" t="n">
        <x:v>63624.63</x:v>
      </x:c>
      <x:c r="L106" s="7" t="n">
        <x:f>MAX(K106-Z106,0)</x:f>
        <x:v>0</x:v>
      </x:c>
      <x:c r="M106" s="10" t="n">
        <x:f>IF(P106=0,0,MIN(Q106/P106,1))</x:f>
        <x:v>0.47404496371247223</x:v>
      </x:c>
      <x:c r="N106" s="10" t="n">
        <x:f>ROUND(MIN(R106,'参数'!$B$11)/'参数'!$B$11*'参数'!$B$2+S106/100*'参数'!$B$3+T106*'参数'!$B$4+U106*'参数'!$B$5+MIN(V106,'参数'!$B$12)/'参数'!$B$12*'参数'!$B$6+W106/100*'参数'!$B$7,'参数'!$B$13)</x:f>
        <x:v>0.702743</x:v>
      </x:c>
      <x:c r="O106" s="7"/>
      <x:c r="P106" s="7" t="n">
        <x:v>5316565</x:v>
      </x:c>
      <x:c r="Q106" s="7" t="n">
        <x:v>2520290.8625</x:v>
      </x:c>
      <x:c r="R106" s="11" t="n">
        <x:v>9</x:v>
      </x:c>
      <x:c r="S106" s="7" t="n">
        <x:v>94</x:v>
      </x:c>
      <x:c r="T106" s="10" t="n">
        <x:v>0.807909604519774</x:v>
      </x:c>
      <x:c r="U106" s="10" t="n">
        <x:v>0.4018567649281935</x:v>
      </x:c>
      <x:c r="V106" s="11" t="n">
        <x:v>4</x:v>
      </x:c>
      <x:c r="W106" s="11" t="n">
        <x:v>82</x:v>
      </x:c>
      <x:c r="X106" s="11" t="n">
        <x:v>69</x:v>
      </x:c>
      <x:c r="Y106" s="7" t="str">
        <x:v>AI建议经人工确认</x:v>
      </x:c>
      <x:c r="Z106" s="7" t="n">
        <x:f>ROUND(H106*M106,2)</x:f>
        <x:v>256436</x:v>
      </x:c>
      <x:c r="AA106" s="7" t="n">
        <x:v>192811.37</x:v>
      </x:c>
      <x:c r="AB106" s="7" t="n">
        <x:v>284516.9</x:v>
      </x:c>
      <x:c r="AC106" s="10" t="n">
        <x:v>0.702743</x:v>
      </x:c>
      <x:c r="AD106" s="7" t="n">
        <x:f>ROUND(I106-AA106,2)</x:f>
        <x:v>0</x:v>
      </x:c>
      <x:c r="AE106" s="10" t="n">
        <x:f>ROUND(N106-AC106,6)</x:f>
        <x:v>0</x:v>
      </x:c>
    </x:row>
    <x:row r="107" ht="22" customHeight="1">
      <x:c r="A107" s="7" t="str">
        <x:v>ANNUAL</x:v>
      </x:c>
      <x:c r="B107" s="7" t="str">
        <x:v>R0</x:v>
      </x:c>
      <x:c r="C107" s="7" t="str">
        <x:v>FY</x:v>
      </x:c>
      <x:c r="D107" s="7" t="str">
        <x:v>D01</x:v>
      </x:c>
      <x:c r="E107" s="7" t="str">
        <x:v>G02</x:v>
      </x:c>
      <x:c r="F107" s="7" t="str">
        <x:v>E006</x:v>
      </x:c>
      <x:c r="G107" s="7" t="str">
        <x:v>样例员工06</x:v>
      </x:c>
      <x:c r="H107" s="7" t="n">
        <x:v>551084.66</x:v>
      </x:c>
      <x:c r="I107" s="7" t="n">
        <x:f>MAX(Z107-K107,0)</x:f>
        <x:v>212370.58000000002</x:v>
      </x:c>
      <x:c r="J107" s="7" t="n">
        <x:f>H107-Z107</x:f>
        <x:v>279479.57</x:v>
      </x:c>
      <x:c r="K107" s="7" t="n">
        <x:v>59234.51</x:v>
      </x:c>
      <x:c r="L107" s="7" t="n">
        <x:f>MAX(K107-Z107,0)</x:f>
        <x:v>0</x:v>
      </x:c>
      <x:c r="M107" s="10" t="n">
        <x:f>IF(P107=0,0,MIN(Q107/P107,1))</x:f>
        <x:v>0.49285546260680685</x:v>
      </x:c>
      <x:c r="N107" s="10" t="n">
        <x:f>ROUND(MIN(R107,'参数'!$B$11)/'参数'!$B$11*'参数'!$B$2+S107/100*'参数'!$B$3+T107*'参数'!$B$4+U107*'参数'!$B$5+MIN(V107,'参数'!$B$12)/'参数'!$B$12*'参数'!$B$6+W107/100*'参数'!$B$7,'参数'!$B$13)</x:f>
        <x:v>0.715905</x:v>
      </x:c>
      <x:c r="O107" s="7"/>
      <x:c r="P107" s="7" t="n">
        <x:v>6781515</x:v>
      </x:c>
      <x:c r="Q107" s="7" t="n">
        <x:v>3342306.7125</x:v>
      </x:c>
      <x:c r="R107" s="11" t="n">
        <x:v>6</x:v>
      </x:c>
      <x:c r="S107" s="7" t="n">
        <x:v>75</x:v>
      </x:c>
      <x:c r="T107" s="10" t="n">
        <x:v>0.6666666666666666</x:v>
      </x:c>
      <x:c r="U107" s="10" t="n">
        <x:v>0.5980171957671958</x:v>
      </x:c>
      <x:c r="V107" s="11" t="n">
        <x:v>4</x:v>
      </x:c>
      <x:c r="W107" s="11" t="n">
        <x:v>91</x:v>
      </x:c>
      <x:c r="X107" s="11" t="n">
        <x:v>70</x:v>
      </x:c>
      <x:c r="Y107" s="7" t="str">
        <x:v>AI建议经人工确认</x:v>
      </x:c>
      <x:c r="Z107" s="7" t="n">
        <x:f>ROUND(H107*M107,2)</x:f>
        <x:v>271605.09</x:v>
      </x:c>
      <x:c r="AA107" s="7" t="n">
        <x:v>212370.58</x:v>
      </x:c>
      <x:c r="AB107" s="7" t="n">
        <x:v>279479.57</x:v>
      </x:c>
      <x:c r="AC107" s="10" t="n">
        <x:v>0.715905</x:v>
      </x:c>
      <x:c r="AD107" s="7" t="n">
        <x:f>ROUND(I107-AA107,2)</x:f>
        <x:v>0</x:v>
      </x:c>
      <x:c r="AE107" s="10" t="n">
        <x:f>ROUND(N107-AC107,6)</x:f>
        <x:v>0</x:v>
      </x:c>
    </x:row>
    <x:row r="108" ht="22" customHeight="1">
      <x:c r="A108" s="7" t="str">
        <x:v>ANNUAL</x:v>
      </x:c>
      <x:c r="B108" s="7" t="str">
        <x:v>R0</x:v>
      </x:c>
      <x:c r="C108" s="7" t="str">
        <x:v>FY</x:v>
      </x:c>
      <x:c r="D108" s="7" t="str">
        <x:v>D01</x:v>
      </x:c>
      <x:c r="E108" s="7" t="str">
        <x:v>G02</x:v>
      </x:c>
      <x:c r="F108" s="7" t="str">
        <x:v>E007</x:v>
      </x:c>
      <x:c r="G108" s="7" t="str">
        <x:v>样例员工07</x:v>
      </x:c>
      <x:c r="H108" s="7" t="n">
        <x:v>615309.93</x:v>
      </x:c>
      <x:c r="I108" s="7" t="n">
        <x:f>MAX(Z108-K108,0)</x:f>
        <x:v>238306.79000000004</x:v>
      </x:c>
      <x:c r="J108" s="7" t="n">
        <x:f>H108-Z108</x:f>
        <x:v>303656.78</x:v>
      </x:c>
      <x:c r="K108" s="7" t="n">
        <x:v>73346.36</x:v>
      </x:c>
      <x:c r="L108" s="7" t="n">
        <x:f>MAX(K108-Z108,0)</x:f>
        <x:v>0</x:v>
      </x:c>
      <x:c r="M108" s="10" t="n">
        <x:f>IF(P108=0,0,MIN(Q108/P108,1))</x:f>
        <x:v>0.5064978326549265</x:v>
      </x:c>
      <x:c r="N108" s="10" t="n">
        <x:f>ROUND(MIN(R108,'参数'!$B$11)/'参数'!$B$11*'参数'!$B$2+S108/100*'参数'!$B$3+T108*'参数'!$B$4+U108*'参数'!$B$5+MIN(V108,'参数'!$B$12)/'参数'!$B$12*'参数'!$B$6+W108/100*'参数'!$B$7,'参数'!$B$13)</x:f>
        <x:v>0.799339</x:v>
      </x:c>
      <x:c r="O108" s="7"/>
      <x:c r="P108" s="7" t="n">
        <x:v>8949890</x:v>
      </x:c>
      <x:c r="Q108" s="7" t="n">
        <x:v>4533099.8875</x:v>
      </x:c>
      <x:c r="R108" s="11" t="n">
        <x:v>3</x:v>
      </x:c>
      <x:c r="S108" s="7" t="n">
        <x:v>86</x:v>
      </x:c>
      <x:c r="T108" s="10" t="n">
        <x:v>0.575591985428051</x:v>
      </x:c>
      <x:c r="U108" s="10" t="n">
        <x:v>1</x:v>
      </x:c>
      <x:c r="V108" s="11" t="n">
        <x:v>5</x:v>
      </x:c>
      <x:c r="W108" s="11" t="n">
        <x:v>79</x:v>
      </x:c>
      <x:c r="X108" s="11"/>
      <x:c r="Y108" s="7" t="str">
        <x:v>负责人评分</x:v>
      </x:c>
      <x:c r="Z108" s="7" t="n">
        <x:f>ROUND(H108*M108,2)</x:f>
        <x:v>311653.15</x:v>
      </x:c>
      <x:c r="AA108" s="7" t="n">
        <x:v>238306.79</x:v>
      </x:c>
      <x:c r="AB108" s="7" t="n">
        <x:v>303656.78</x:v>
      </x:c>
      <x:c r="AC108" s="10" t="n">
        <x:v>0.799339</x:v>
      </x:c>
      <x:c r="AD108" s="7" t="n">
        <x:f>ROUND(I108-AA108,2)</x:f>
        <x:v>0</x:v>
      </x:c>
      <x:c r="AE108" s="10" t="n">
        <x:f>ROUND(N108-AC108,6)</x:f>
        <x:v>0</x:v>
      </x:c>
    </x:row>
    <x:row r="109" ht="22" customHeight="1">
      <x:c r="A109" s="7" t="str">
        <x:v>ANNUAL</x:v>
      </x:c>
      <x:c r="B109" s="7" t="str">
        <x:v>R0</x:v>
      </x:c>
      <x:c r="C109" s="7" t="str">
        <x:v>FY</x:v>
      </x:c>
      <x:c r="D109" s="7" t="str">
        <x:v>D01</x:v>
      </x:c>
      <x:c r="E109" s="7" t="str">
        <x:v>G02</x:v>
      </x:c>
      <x:c r="F109" s="7" t="str">
        <x:v>E008</x:v>
      </x:c>
      <x:c r="G109" s="7" t="str">
        <x:v>样例员工08</x:v>
      </x:c>
      <x:c r="H109" s="7" t="n">
        <x:v>556931.09</x:v>
      </x:c>
      <x:c r="I109" s="7" t="n">
        <x:f>MAX(Z109-K109,0)</x:f>
        <x:v>197477.09</x:v>
      </x:c>
      <x:c r="J109" s="7" t="n">
        <x:f>H109-Z109</x:f>
        <x:v>287559.64999999997</x:v>
      </x:c>
      <x:c r="K109" s="7" t="n">
        <x:v>71894.35</x:v>
      </x:c>
      <x:c r="L109" s="7" t="n">
        <x:f>MAX(K109-Z109,0)</x:f>
        <x:v>0</x:v>
      </x:c>
      <x:c r="M109" s="10" t="n">
        <x:f>IF(P109=0,0,MIN(Q109/P109,1))</x:f>
        <x:v>0.4836710467961611</x:v>
      </x:c>
      <x:c r="N109" s="10" t="n">
        <x:f>ROUND(MIN(R109,'参数'!$B$11)/'参数'!$B$11*'参数'!$B$2+S109/100*'参数'!$B$3+T109*'参数'!$B$4+U109*'参数'!$B$5+MIN(V109,'参数'!$B$12)/'参数'!$B$12*'参数'!$B$6+W109/100*'参数'!$B$7,'参数'!$B$13)</x:f>
        <x:v>0.7235</x:v>
      </x:c>
      <x:c r="O109" s="7"/>
      <x:c r="P109" s="7" t="n">
        <x:v>7711530</x:v>
      </x:c>
      <x:c r="Q109" s="7" t="n">
        <x:v>3729843.7875</x:v>
      </x:c>
      <x:c r="R109" s="11" t="n">
        <x:v>0</x:v>
      </x:c>
      <x:c r="S109" s="7" t="n">
        <x:v>81</x:v>
      </x:c>
      <x:c r="T109" s="10" t="n">
        <x:v>0.6666666666666666</x:v>
      </x:c>
      <x:c r="U109" s="10" t="n">
        <x:v>1</x:v>
      </x:c>
      <x:c r="V109" s="11" t="n">
        <x:v>5</x:v>
      </x:c>
      <x:c r="W109" s="11" t="n">
        <x:v>66</x:v>
      </x:c>
      <x:c r="X109" s="11"/>
      <x:c r="Y109" s="7" t="str">
        <x:v>负责人评分</x:v>
      </x:c>
      <x:c r="Z109" s="7" t="n">
        <x:f>ROUND(H109*M109,2)</x:f>
        <x:v>269371.44</x:v>
      </x:c>
      <x:c r="AA109" s="7" t="n">
        <x:v>197477.09</x:v>
      </x:c>
      <x:c r="AB109" s="7" t="n">
        <x:v>287559.65</x:v>
      </x:c>
      <x:c r="AC109" s="10" t="n">
        <x:v>0.7235</x:v>
      </x:c>
      <x:c r="AD109" s="7" t="n">
        <x:f>ROUND(I109-AA109,2)</x:f>
        <x:v>0</x:v>
      </x:c>
      <x:c r="AE109" s="10" t="n">
        <x:f>ROUND(N109-AC109,6)</x:f>
        <x:v>0</x:v>
      </x:c>
    </x:row>
    <x:row r="110" ht="22" customHeight="1">
      <x:c r="A110" s="7" t="str">
        <x:v>ANNUAL</x:v>
      </x:c>
      <x:c r="B110" s="7" t="str">
        <x:v>R0</x:v>
      </x:c>
      <x:c r="C110" s="7" t="str">
        <x:v>FY</x:v>
      </x:c>
      <x:c r="D110" s="7" t="str">
        <x:v>D01</x:v>
      </x:c>
      <x:c r="E110" s="7" t="str">
        <x:v>G03</x:v>
      </x:c>
      <x:c r="F110" s="7" t="str">
        <x:v>E009</x:v>
      </x:c>
      <x:c r="G110" s="7" t="str">
        <x:v>样例员工09</x:v>
      </x:c>
      <x:c r="H110" s="7" t="n">
        <x:v>747567.37</x:v>
      </x:c>
      <x:c r="I110" s="7" t="n">
        <x:f>MAX(Z110-K110,0)</x:f>
        <x:v>285920.08</x:v>
      </x:c>
      <x:c r="J110" s="7" t="n">
        <x:f>H110-Z110</x:f>
        <x:v>389617.25</x:v>
      </x:c>
      <x:c r="K110" s="7" t="n">
        <x:v>72030.04</x:v>
      </x:c>
      <x:c r="L110" s="7" t="n">
        <x:f>MAX(K110-Z110,0)</x:f>
        <x:v>0</x:v>
      </x:c>
      <x:c r="M110" s="10" t="n">
        <x:f>IF(P110=0,0,MIN(Q110/P110,1))</x:f>
        <x:v>0.4788198762534998</x:v>
      </x:c>
      <x:c r="N110" s="10" t="n">
        <x:f>ROUND(MIN(R110,'参数'!$B$11)/'参数'!$B$11*'参数'!$B$2+S110/100*'参数'!$B$3+T110*'参数'!$B$4+U110*'参数'!$B$5+MIN(V110,'参数'!$B$12)/'参数'!$B$12*'参数'!$B$6+W110/100*'参数'!$B$7,'参数'!$B$13)</x:f>
        <x:v>0.816885</x:v>
      </x:c>
      <x:c r="O110" s="7"/>
      <x:c r="P110" s="7" t="n">
        <x:v>7811130</x:v>
      </x:c>
      <x:c r="Q110" s="7" t="n">
        <x:v>3740124.3</x:v>
      </x:c>
      <x:c r="R110" s="11" t="n">
        <x:v>9</x:v>
      </x:c>
      <x:c r="S110" s="7" t="n">
        <x:v>91</x:v>
      </x:c>
      <x:c r="T110" s="10" t="n">
        <x:v>0.5760869565217391</x:v>
      </x:c>
      <x:c r="U110" s="10" t="n">
        <x:v>0.8265746031746032</x:v>
      </x:c>
      <x:c r="V110" s="11" t="n">
        <x:v>5</x:v>
      </x:c>
      <x:c r="W110" s="11" t="n">
        <x:v>92</x:v>
      </x:c>
      <x:c r="X110" s="11"/>
      <x:c r="Y110" s="7" t="str">
        <x:v>负责人评分</x:v>
      </x:c>
      <x:c r="Z110" s="7" t="n">
        <x:f>ROUND(H110*M110,2)</x:f>
        <x:v>357950.12</x:v>
      </x:c>
      <x:c r="AA110" s="7" t="n">
        <x:v>285920.08</x:v>
      </x:c>
      <x:c r="AB110" s="7" t="n">
        <x:v>389617.25</x:v>
      </x:c>
      <x:c r="AC110" s="10" t="n">
        <x:v>0.816885</x:v>
      </x:c>
      <x:c r="AD110" s="7" t="n">
        <x:f>ROUND(I110-AA110,2)</x:f>
        <x:v>0</x:v>
      </x:c>
      <x:c r="AE110" s="10" t="n">
        <x:f>ROUND(N110-AC110,6)</x:f>
        <x:v>0</x:v>
      </x:c>
    </x:row>
    <x:row r="111" ht="22" customHeight="1">
      <x:c r="A111" s="7" t="str">
        <x:v>ANNUAL</x:v>
      </x:c>
      <x:c r="B111" s="7" t="str">
        <x:v>R0</x:v>
      </x:c>
      <x:c r="C111" s="7" t="str">
        <x:v>FY</x:v>
      </x:c>
      <x:c r="D111" s="7" t="str">
        <x:v>D01</x:v>
      </x:c>
      <x:c r="E111" s="7" t="str">
        <x:v>G03</x:v>
      </x:c>
      <x:c r="F111" s="7" t="str">
        <x:v>E010</x:v>
      </x:c>
      <x:c r="G111" s="7" t="str">
        <x:v>样例员工10</x:v>
      </x:c>
      <x:c r="H111" s="7" t="n">
        <x:v>625377.35</x:v>
      </x:c>
      <x:c r="I111" s="7" t="n">
        <x:f>MAX(Z111-K111,0)</x:f>
        <x:v>247578.16</x:v>
      </x:c>
      <x:c r="J111" s="7" t="n">
        <x:f>H111-Z111</x:f>
        <x:v>312840.27999999997</x:v>
      </x:c>
      <x:c r="K111" s="7" t="n">
        <x:v>64958.91</x:v>
      </x:c>
      <x:c r="L111" s="7" t="n">
        <x:f>MAX(K111-Z111,0)</x:f>
        <x:v>0</x:v>
      </x:c>
      <x:c r="M111" s="10" t="n">
        <x:f>IF(P111=0,0,MIN(Q111/P111,1))</x:f>
        <x:v>0.4997575860087618</x:v>
      </x:c>
      <x:c r="N111" s="10" t="n">
        <x:f>ROUND(MIN(R111,'参数'!$B$11)/'参数'!$B$11*'参数'!$B$2+S111/100*'参数'!$B$3+T111*'参数'!$B$4+U111*'参数'!$B$5+MIN(V111,'参数'!$B$12)/'参数'!$B$12*'参数'!$B$6+W111/100*'参数'!$B$7,'参数'!$B$13)</x:f>
        <x:v>0.683365</x:v>
      </x:c>
      <x:c r="O111" s="7"/>
      <x:c r="P111" s="7" t="n">
        <x:v>5490865</x:v>
      </x:c>
      <x:c r="Q111" s="7" t="n">
        <x:v>2744101.4375</x:v>
      </x:c>
      <x:c r="R111" s="11" t="n">
        <x:v>6</x:v>
      </x:c>
      <x:c r="S111" s="7" t="n">
        <x:v>63</x:v>
      </x:c>
      <x:c r="T111" s="10" t="n">
        <x:v>0.6666666666666666</x:v>
      </x:c>
      <x:c r="U111" s="10" t="n">
        <x:v>0.6778845679012345</x:v>
      </x:c>
      <x:c r="V111" s="11" t="n">
        <x:v>5</x:v>
      </x:c>
      <x:c r="W111" s="11" t="n">
        <x:v>61</x:v>
      </x:c>
      <x:c r="X111" s="11"/>
      <x:c r="Y111" s="7" t="str">
        <x:v>负责人评分</x:v>
      </x:c>
      <x:c r="Z111" s="7" t="n">
        <x:f>ROUND(H111*M111,2)</x:f>
        <x:v>312537.07</x:v>
      </x:c>
      <x:c r="AA111" s="7" t="n">
        <x:v>247578.16</x:v>
      </x:c>
      <x:c r="AB111" s="7" t="n">
        <x:v>312840.28</x:v>
      </x:c>
      <x:c r="AC111" s="10" t="n">
        <x:v>0.683365</x:v>
      </x:c>
      <x:c r="AD111" s="7" t="n">
        <x:f>ROUND(I111-AA111,2)</x:f>
        <x:v>0</x:v>
      </x:c>
      <x:c r="AE111" s="10" t="n">
        <x:f>ROUND(N111-AC111,6)</x:f>
        <x:v>0</x:v>
      </x:c>
    </x:row>
    <x:row r="112" ht="22" customHeight="1">
      <x:c r="A112" s="7" t="str">
        <x:v>ANNUAL</x:v>
      </x:c>
      <x:c r="B112" s="7" t="str">
        <x:v>R0</x:v>
      </x:c>
      <x:c r="C112" s="7" t="str">
        <x:v>FY</x:v>
      </x:c>
      <x:c r="D112" s="7" t="str">
        <x:v>D01</x:v>
      </x:c>
      <x:c r="E112" s="7" t="str">
        <x:v>G03</x:v>
      </x:c>
      <x:c r="F112" s="7" t="str">
        <x:v>E011</x:v>
      </x:c>
      <x:c r="G112" s="7" t="str">
        <x:v>样例员工11</x:v>
      </x:c>
      <x:c r="H112" s="7" t="n">
        <x:v>680416.86</x:v>
      </x:c>
      <x:c r="I112" s="7" t="n">
        <x:f>MAX(Z112-K112,0)</x:f>
        <x:v>279730.5</x:v>
      </x:c>
      <x:c r="J112" s="7" t="n">
        <x:f>H112-Z112</x:f>
        <x:v>335613.02999999997</x:v>
      </x:c>
      <x:c r="K112" s="7" t="n">
        <x:v>65073.33</x:v>
      </x:c>
      <x:c r="L112" s="7" t="n">
        <x:f>MAX(K112-Z112,0)</x:f>
        <x:v>0</x:v>
      </x:c>
      <x:c r="M112" s="10" t="n">
        <x:f>IF(P112=0,0,MIN(Q112/P112,1))</x:f>
        <x:v>0.506753806564842</x:v>
      </x:c>
      <x:c r="N112" s="10" t="n">
        <x:f>ROUND(MIN(R112,'参数'!$B$11)/'参数'!$B$11*'参数'!$B$2+S112/100*'参数'!$B$3+T112*'参数'!$B$4+U112*'参数'!$B$5+MIN(V112,'参数'!$B$12)/'参数'!$B$12*'参数'!$B$6+W112/100*'参数'!$B$7,'参数'!$B$13)</x:f>
        <x:v>0.743508</x:v>
      </x:c>
      <x:c r="O112" s="7"/>
      <x:c r="P112" s="7" t="n">
        <x:v>4427220</x:v>
      </x:c>
      <x:c r="Q112" s="7" t="n">
        <x:v>2243510.5875</x:v>
      </x:c>
      <x:c r="R112" s="11" t="n">
        <x:v>3</x:v>
      </x:c>
      <x:c r="S112" s="7" t="n">
        <x:v>82</x:v>
      </x:c>
      <x:c r="T112" s="10" t="n">
        <x:v>0.8103448275862069</x:v>
      </x:c>
      <x:c r="U112" s="10" t="n">
        <x:v>0.8198555555555556</x:v>
      </x:c>
      <x:c r="V112" s="11" t="n">
        <x:v>4</x:v>
      </x:c>
      <x:c r="W112" s="11" t="n">
        <x:v>68</x:v>
      </x:c>
      <x:c r="X112" s="11"/>
      <x:c r="Y112" s="7" t="str">
        <x:v>负责人评分</x:v>
      </x:c>
      <x:c r="Z112" s="7" t="n">
        <x:f>ROUND(H112*M112,2)</x:f>
        <x:v>344803.83</x:v>
      </x:c>
      <x:c r="AA112" s="7" t="n">
        <x:v>279730.5</x:v>
      </x:c>
      <x:c r="AB112" s="7" t="n">
        <x:v>335613.03</x:v>
      </x:c>
      <x:c r="AC112" s="10" t="n">
        <x:v>0.743508</x:v>
      </x:c>
      <x:c r="AD112" s="7" t="n">
        <x:f>ROUND(I112-AA112,2)</x:f>
        <x:v>0</x:v>
      </x:c>
      <x:c r="AE112" s="10" t="n">
        <x:f>ROUND(N112-AC112,6)</x:f>
        <x:v>0</x:v>
      </x:c>
    </x:row>
    <x:row r="113" ht="22" customHeight="1">
      <x:c r="A113" s="7" t="str">
        <x:v>ANNUAL</x:v>
      </x:c>
      <x:c r="B113" s="7" t="str">
        <x:v>R0</x:v>
      </x:c>
      <x:c r="C113" s="7" t="str">
        <x:v>FY</x:v>
      </x:c>
      <x:c r="D113" s="7" t="str">
        <x:v>D01</x:v>
      </x:c>
      <x:c r="E113" s="7" t="str">
        <x:v>G03</x:v>
      </x:c>
      <x:c r="F113" s="7" t="str">
        <x:v>E012</x:v>
      </x:c>
      <x:c r="G113" s="7" t="str">
        <x:v>样例员工12</x:v>
      </x:c>
      <x:c r="H113" s="7" t="n">
        <x:v>667597.52</x:v>
      </x:c>
      <x:c r="I113" s="7" t="n">
        <x:f>MAX(Z113-K113,0)</x:f>
        <x:v>266885.70999999996</x:v>
      </x:c>
      <x:c r="J113" s="7" t="n">
        <x:f>H113-Z113</x:f>
        <x:v>341342.98000000004</x:v>
      </x:c>
      <x:c r="K113" s="7" t="n">
        <x:v>59368.83</x:v>
      </x:c>
      <x:c r="L113" s="7" t="n">
        <x:f>MAX(K113-Z113,0)</x:f>
        <x:v>0</x:v>
      </x:c>
      <x:c r="M113" s="10" t="n">
        <x:f>IF(P113=0,0,MIN(Q113/P113,1))</x:f>
        <x:v>0.488699442483974</x:v>
      </x:c>
      <x:c r="N113" s="10" t="n">
        <x:f>ROUND(MIN(R113,'参数'!$B$11)/'参数'!$B$11*'参数'!$B$2+S113/100*'参数'!$B$3+T113*'参数'!$B$4+U113*'参数'!$B$5+MIN(V113,'参数'!$B$12)/'参数'!$B$12*'参数'!$B$6+W113/100*'参数'!$B$7,'参数'!$B$13)</x:f>
        <x:v>0.7295</x:v>
      </x:c>
      <x:c r="O113" s="7"/>
      <x:c r="P113" s="7" t="n">
        <x:v>6465285</x:v>
      </x:c>
      <x:c r="Q113" s="7" t="n">
        <x:v>3159581.175</x:v>
      </x:c>
      <x:c r="R113" s="11" t="n">
        <x:v>0</x:v>
      </x:c>
      <x:c r="S113" s="7" t="n">
        <x:v>76</x:v>
      </x:c>
      <x:c r="T113" s="10" t="n">
        <x:v>0.6666666666666666</x:v>
      </x:c>
      <x:c r="U113" s="10" t="n">
        <x:v>1</x:v>
      </x:c>
      <x:c r="V113" s="11" t="n">
        <x:v>4</x:v>
      </x:c>
      <x:c r="W113" s="11" t="n">
        <x:v>85</x:v>
      </x:c>
      <x:c r="X113" s="11"/>
      <x:c r="Y113" s="7" t="str">
        <x:v>负责人评分</x:v>
      </x:c>
      <x:c r="Z113" s="7" t="n">
        <x:f>ROUND(H113*M113,2)</x:f>
        <x:v>326254.54</x:v>
      </x:c>
      <x:c r="AA113" s="7" t="n">
        <x:v>266885.71</x:v>
      </x:c>
      <x:c r="AB113" s="7" t="n">
        <x:v>341342.98</x:v>
      </x:c>
      <x:c r="AC113" s="10" t="n">
        <x:v>0.7295</x:v>
      </x:c>
      <x:c r="AD113" s="7" t="n">
        <x:f>ROUND(I113-AA113,2)</x:f>
        <x:v>0</x:v>
      </x:c>
      <x:c r="AE113" s="10" t="n">
        <x:f>ROUND(N113-AC113,6)</x:f>
        <x:v>0</x:v>
      </x:c>
    </x:row>
    <x:row r="114" ht="22" customHeight="1">
      <x:c r="A114" s="7" t="str">
        <x:v>ANNUAL</x:v>
      </x:c>
      <x:c r="B114" s="7" t="str">
        <x:v>R0</x:v>
      </x:c>
      <x:c r="C114" s="7" t="str">
        <x:v>FY</x:v>
      </x:c>
      <x:c r="D114" s="7" t="str">
        <x:v>D02</x:v>
      </x:c>
      <x:c r="E114" s="7" t="str">
        <x:v>G04</x:v>
      </x:c>
      <x:c r="F114" s="7" t="str">
        <x:v>E013</x:v>
      </x:c>
      <x:c r="G114" s="7" t="str">
        <x:v>样例员工13</x:v>
      </x:c>
      <x:c r="H114" s="7" t="n">
        <x:v>475569.04</x:v>
      </x:c>
      <x:c r="I114" s="7" t="n">
        <x:f>MAX(Z114-K114,0)</x:f>
        <x:v>160030.21</x:v>
      </x:c>
      <x:c r="J114" s="7" t="n">
        <x:f>H114-Z114</x:f>
        <x:v>251204.31999999998</x:v>
      </x:c>
      <x:c r="K114" s="7" t="n">
        <x:v>64334.51</x:v>
      </x:c>
      <x:c r="L114" s="7" t="n">
        <x:f>MAX(K114-Z114,0)</x:f>
        <x:v>0</x:v>
      </x:c>
      <x:c r="M114" s="10" t="n">
        <x:f>IF(P114=0,0,MIN(Q114/P114,1))</x:f>
        <x:v>0.4717815920705688</x:v>
      </x:c>
      <x:c r="N114" s="10" t="n">
        <x:f>ROUND(MIN(R114,'参数'!$B$11)/'参数'!$B$11*'参数'!$B$2+S114/100*'参数'!$B$3+T114*'参数'!$B$4+U114*'参数'!$B$5+MIN(V114,'参数'!$B$12)/'参数'!$B$12*'参数'!$B$6+W114/100*'参数'!$B$7,'参数'!$B$13)</x:f>
        <x:v>0.669973</x:v>
      </x:c>
      <x:c r="O114" s="7"/>
      <x:c r="P114" s="7" t="n">
        <x:v>5336070</x:v>
      </x:c>
      <x:c r="Q114" s="7" t="n">
        <x:v>2517459.6</x:v>
      </x:c>
      <x:c r="R114" s="11" t="n">
        <x:v>9</x:v>
      </x:c>
      <x:c r="S114" s="7" t="n">
        <x:v>94</x:v>
      </x:c>
      <x:c r="T114" s="10" t="n">
        <x:v>0.807909604519774</x:v>
      </x:c>
      <x:c r="U114" s="10" t="n">
        <x:v>0.3176232142857143</x:v>
      </x:c>
      <x:c r="V114" s="11" t="n">
        <x:v>4</x:v>
      </x:c>
      <x:c r="W114" s="11" t="n">
        <x:v>77</x:v>
      </x:c>
      <x:c r="X114" s="11"/>
      <x:c r="Y114" s="7" t="str">
        <x:v>负责人评分</x:v>
      </x:c>
      <x:c r="Z114" s="7" t="n">
        <x:f>ROUND(H114*M114,2)</x:f>
        <x:v>224364.72</x:v>
      </x:c>
      <x:c r="AA114" s="7" t="n">
        <x:v>160030.21</x:v>
      </x:c>
      <x:c r="AB114" s="7" t="n">
        <x:v>251204.32</x:v>
      </x:c>
      <x:c r="AC114" s="10" t="n">
        <x:v>0.669973</x:v>
      </x:c>
      <x:c r="AD114" s="7" t="n">
        <x:f>ROUND(I114-AA114,2)</x:f>
        <x:v>0</x:v>
      </x:c>
      <x:c r="AE114" s="10" t="n">
        <x:f>ROUND(N114-AC114,6)</x:f>
        <x:v>0</x:v>
      </x:c>
    </x:row>
    <x:row r="115" ht="22" customHeight="1">
      <x:c r="A115" s="7" t="str">
        <x:v>ANNUAL</x:v>
      </x:c>
      <x:c r="B115" s="7" t="str">
        <x:v>R0</x:v>
      </x:c>
      <x:c r="C115" s="7" t="str">
        <x:v>FY</x:v>
      </x:c>
      <x:c r="D115" s="7" t="str">
        <x:v>D02</x:v>
      </x:c>
      <x:c r="E115" s="7" t="str">
        <x:v>G04</x:v>
      </x:c>
      <x:c r="F115" s="7" t="str">
        <x:v>E014</x:v>
      </x:c>
      <x:c r="G115" s="7" t="str">
        <x:v>样例员工14</x:v>
      </x:c>
      <x:c r="H115" s="7" t="n">
        <x:v>440439.4</x:v>
      </x:c>
      <x:c r="I115" s="7" t="n">
        <x:f>MAX(Z115-K115,0)</x:f>
        <x:v>159954.97999999998</x:v>
      </x:c>
      <x:c r="J115" s="7" t="n">
        <x:f>H115-Z115</x:f>
        <x:v>226818.94000000003</x:v>
      </x:c>
      <x:c r="K115" s="7" t="n">
        <x:v>53665.48</x:v>
      </x:c>
      <x:c r="L115" s="7" t="n">
        <x:f>MAX(K115-Z115,0)</x:f>
        <x:v>0</x:v>
      </x:c>
      <x:c r="M115" s="10" t="n">
        <x:f>IF(P115=0,0,MIN(Q115/P115,1))</x:f>
        <x:v>0.4850166995550871</x:v>
      </x:c>
      <x:c r="N115" s="10" t="n">
        <x:f>ROUND(MIN(R115,'参数'!$B$11)/'参数'!$B$11*'参数'!$B$2+S115/100*'参数'!$B$3+T115*'参数'!$B$4+U115*'参数'!$B$5+MIN(V115,'参数'!$B$12)/'参数'!$B$12*'参数'!$B$6+W115/100*'参数'!$B$7,'参数'!$B$13)</x:f>
        <x:v>0.620483</x:v>
      </x:c>
      <x:c r="O115" s="7"/>
      <x:c r="P115" s="7" t="n">
        <x:v>6119175</x:v>
      </x:c>
      <x:c r="Q115" s="7" t="n">
        <x:v>2967902.0625</x:v>
      </x:c>
      <x:c r="R115" s="11" t="n">
        <x:v>6</x:v>
      </x:c>
      <x:c r="S115" s="7" t="n">
        <x:v>60</x:v>
      </x:c>
      <x:c r="T115" s="10" t="n">
        <x:v>0.6666666666666666</x:v>
      </x:c>
      <x:c r="U115" s="10" t="n">
        <x:v>0.4249427083333333</x:v>
      </x:c>
      <x:c r="V115" s="11" t="n">
        <x:v>4</x:v>
      </x:c>
      <x:c r="W115" s="11" t="n">
        <x:v>82</x:v>
      </x:c>
      <x:c r="X115" s="11"/>
      <x:c r="Y115" s="7" t="str">
        <x:v>负责人评分</x:v>
      </x:c>
      <x:c r="Z115" s="7" t="n">
        <x:f>ROUND(H115*M115,2)</x:f>
        <x:v>213620.46</x:v>
      </x:c>
      <x:c r="AA115" s="7" t="n">
        <x:v>159954.98</x:v>
      </x:c>
      <x:c r="AB115" s="7" t="n">
        <x:v>226818.94</x:v>
      </x:c>
      <x:c r="AC115" s="10" t="n">
        <x:v>0.620483</x:v>
      </x:c>
      <x:c r="AD115" s="7" t="n">
        <x:f>ROUND(I115-AA115,2)</x:f>
        <x:v>0</x:v>
      </x:c>
      <x:c r="AE115" s="10" t="n">
        <x:f>ROUND(N115-AC115,6)</x:f>
        <x:v>0</x:v>
      </x:c>
    </x:row>
    <x:row r="116" ht="22" customHeight="1">
      <x:c r="A116" s="7" t="str">
        <x:v>ANNUAL</x:v>
      </x:c>
      <x:c r="B116" s="7" t="str">
        <x:v>R0</x:v>
      </x:c>
      <x:c r="C116" s="7" t="str">
        <x:v>FY</x:v>
      </x:c>
      <x:c r="D116" s="7" t="str">
        <x:v>D02</x:v>
      </x:c>
      <x:c r="E116" s="7" t="str">
        <x:v>G04</x:v>
      </x:c>
      <x:c r="F116" s="7" t="str">
        <x:v>E015</x:v>
      </x:c>
      <x:c r="G116" s="7" t="str">
        <x:v>样例员工15</x:v>
      </x:c>
      <x:c r="H116" s="7" t="n">
        <x:v>519420.41</x:v>
      </x:c>
      <x:c r="I116" s="7" t="n">
        <x:f>MAX(Z116-K116,0)</x:f>
        <x:v>194219.6</x:v>
      </x:c>
      <x:c r="J116" s="7" t="n">
        <x:f>H116-Z116</x:f>
        <x:v>260168.74999999997</x:v>
      </x:c>
      <x:c r="K116" s="7" t="n">
        <x:v>65032.06</x:v>
      </x:c>
      <x:c r="L116" s="7" t="n">
        <x:f>MAX(K116-Z116,0)</x:f>
        <x:v>0</x:v>
      </x:c>
      <x:c r="M116" s="10" t="n">
        <x:f>IF(P116=0,0,MIN(Q116/P116,1))</x:f>
        <x:v>0.49911719584683756</x:v>
      </x:c>
      <x:c r="N116" s="10" t="n">
        <x:f>ROUND(MIN(R116,'参数'!$B$11)/'参数'!$B$11*'参数'!$B$2+S116/100*'参数'!$B$3+T116*'参数'!$B$4+U116*'参数'!$B$5+MIN(V116,'参数'!$B$12)/'参数'!$B$12*'参数'!$B$6+W116/100*'参数'!$B$7,'参数'!$B$13)</x:f>
        <x:v>0.73175</x:v>
      </x:c>
      <x:c r="O116" s="7"/>
      <x:c r="P116" s="7" t="n">
        <x:v>8653165</x:v>
      </x:c>
      <x:c r="Q116" s="7" t="n">
        <x:v>4318943.45</x:v>
      </x:c>
      <x:c r="R116" s="11" t="n">
        <x:v>3</x:v>
      </x:c>
      <x:c r="S116" s="7" t="n">
        <x:v>67</x:v>
      </x:c>
      <x:c r="T116" s="10" t="n">
        <x:v>0.575591985428051</x:v>
      </x:c>
      <x:c r="U116" s="10" t="n">
        <x:v>0.9013713541666667</x:v>
      </x:c>
      <x:c r="V116" s="11" t="n">
        <x:v>5</x:v>
      </x:c>
      <x:c r="W116" s="11" t="n">
        <x:v>79</x:v>
      </x:c>
      <x:c r="X116" s="11"/>
      <x:c r="Y116" s="7" t="str">
        <x:v>负责人评分</x:v>
      </x:c>
      <x:c r="Z116" s="7" t="n">
        <x:f>ROUND(H116*M116,2)</x:f>
        <x:v>259251.66</x:v>
      </x:c>
      <x:c r="AA116" s="7" t="n">
        <x:v>194219.6</x:v>
      </x:c>
      <x:c r="AB116" s="7" t="n">
        <x:v>260168.75</x:v>
      </x:c>
      <x:c r="AC116" s="10" t="n">
        <x:v>0.73175</x:v>
      </x:c>
      <x:c r="AD116" s="7" t="n">
        <x:f>ROUND(I116-AA116,2)</x:f>
        <x:v>0</x:v>
      </x:c>
      <x:c r="AE116" s="10" t="n">
        <x:f>ROUND(N116-AC116,6)</x:f>
        <x:v>0</x:v>
      </x:c>
    </x:row>
    <x:row r="117" ht="22" customHeight="1">
      <x:c r="A117" s="7" t="str">
        <x:v>ANNUAL</x:v>
      </x:c>
      <x:c r="B117" s="7" t="str">
        <x:v>R0</x:v>
      </x:c>
      <x:c r="C117" s="7" t="str">
        <x:v>FY</x:v>
      </x:c>
      <x:c r="D117" s="7" t="str">
        <x:v>D02</x:v>
      </x:c>
      <x:c r="E117" s="7" t="str">
        <x:v>G04</x:v>
      </x:c>
      <x:c r="F117" s="7" t="str">
        <x:v>E016</x:v>
      </x:c>
      <x:c r="G117" s="7" t="str">
        <x:v>样例员工16</x:v>
      </x:c>
      <x:c r="H117" s="7" t="n">
        <x:v>529890.44</x:v>
      </x:c>
      <x:c r="I117" s="7" t="n">
        <x:f>MAX(Z117-K117,0)</x:f>
        <x:v>192123.81</x:v>
      </x:c>
      <x:c r="J117" s="7" t="n">
        <x:f>H117-Z117</x:f>
        <x:v>274059.97</x:v>
      </x:c>
      <x:c r="K117" s="7" t="n">
        <x:v>63706.66</x:v>
      </x:c>
      <x:c r="L117" s="7" t="n">
        <x:f>MAX(K117-Z117,0)</x:f>
        <x:v>0</x:v>
      </x:c>
      <x:c r="M117" s="10" t="n">
        <x:f>IF(P117=0,0,MIN(Q117/P117,1))</x:f>
        <x:v>0.48279880246718293</x:v>
      </x:c>
      <x:c r="N117" s="10" t="n">
        <x:f>ROUND(MIN(R117,'参数'!$B$11)/'参数'!$B$11*'参数'!$B$2+S117/100*'参数'!$B$3+T117*'参数'!$B$4+U117*'参数'!$B$5+MIN(V117,'参数'!$B$12)/'参数'!$B$12*'参数'!$B$6+W117/100*'参数'!$B$7,'参数'!$B$13)</x:f>
        <x:v>0.7465</x:v>
      </x:c>
      <x:c r="O117" s="7"/>
      <x:c r="P117" s="7" t="n">
        <x:v>8028590</x:v>
      </x:c>
      <x:c r="Q117" s="7" t="n">
        <x:v>3876193.6375</x:v>
      </x:c>
      <x:c r="R117" s="11" t="n">
        <x:v>0</x:v>
      </x:c>
      <x:c r="S117" s="7" t="n">
        <x:v>94</x:v>
      </x:c>
      <x:c r="T117" s="10" t="n">
        <x:v>0.6666666666666666</x:v>
      </x:c>
      <x:c r="U117" s="10" t="n">
        <x:v>1</x:v>
      </x:c>
      <x:c r="V117" s="11" t="n">
        <x:v>5</x:v>
      </x:c>
      <x:c r="W117" s="11" t="n">
        <x:v>64</x:v>
      </x:c>
      <x:c r="X117" s="11"/>
      <x:c r="Y117" s="7" t="str">
        <x:v>负责人评分</x:v>
      </x:c>
      <x:c r="Z117" s="7" t="n">
        <x:f>ROUND(H117*M117,2)</x:f>
        <x:v>255830.47</x:v>
      </x:c>
      <x:c r="AA117" s="7" t="n">
        <x:v>192123.81</x:v>
      </x:c>
      <x:c r="AB117" s="7" t="n">
        <x:v>274059.97</x:v>
      </x:c>
      <x:c r="AC117" s="10" t="n">
        <x:v>0.7465</x:v>
      </x:c>
      <x:c r="AD117" s="7" t="n">
        <x:f>ROUND(I117-AA117,2)</x:f>
        <x:v>0</x:v>
      </x:c>
      <x:c r="AE117" s="10" t="n">
        <x:f>ROUND(N117-AC117,6)</x:f>
        <x:v>0</x:v>
      </x:c>
    </x:row>
    <x:row r="118" ht="22" customHeight="1">
      <x:c r="A118" s="7" t="str">
        <x:v>ANNUAL</x:v>
      </x:c>
      <x:c r="B118" s="7" t="str">
        <x:v>R0</x:v>
      </x:c>
      <x:c r="C118" s="7" t="str">
        <x:v>FY</x:v>
      </x:c>
      <x:c r="D118" s="7" t="str">
        <x:v>D02</x:v>
      </x:c>
      <x:c r="E118" s="7" t="str">
        <x:v>G05</x:v>
      </x:c>
      <x:c r="F118" s="7" t="str">
        <x:v>E017</x:v>
      </x:c>
      <x:c r="G118" s="7" t="str">
        <x:v>样例员工17</x:v>
      </x:c>
      <x:c r="H118" s="7" t="n">
        <x:v>336083.19</x:v>
      </x:c>
      <x:c r="I118" s="7" t="n">
        <x:f>MAX(Z118-K118,0)</x:f>
        <x:v>107304.13999999998</x:v>
      </x:c>
      <x:c r="J118" s="7" t="n">
        <x:f>H118-Z118</x:f>
        <x:v>173350.48</x:v>
      </x:c>
      <x:c r="K118" s="7" t="n">
        <x:v>55428.57</x:v>
      </x:c>
      <x:c r="L118" s="7" t="n">
        <x:f>MAX(K118-Z118,0)</x:f>
        <x:v>0</x:v>
      </x:c>
      <x:c r="M118" s="10" t="n">
        <x:f>IF(P118=0,0,MIN(Q118/P118,1))</x:f>
        <x:v>0.4842036694534901</x:v>
      </x:c>
      <x:c r="N118" s="10" t="n">
        <x:f>ROUND(MIN(R118,'参数'!$B$11)/'参数'!$B$11*'参数'!$B$2+S118/100*'参数'!$B$3+T118*'参数'!$B$4+U118*'参数'!$B$5+MIN(V118,'参数'!$B$12)/'参数'!$B$12*'参数'!$B$6+W118/100*'参数'!$B$7,'参数'!$B$13)</x:f>
        <x:v>0.63677</x:v>
      </x:c>
      <x:c r="O118" s="7"/>
      <x:c r="P118" s="7" t="n">
        <x:v>5309510</x:v>
      </x:c>
      <x:c r="Q118" s="7" t="n">
        <x:v>2570884.225</x:v>
      </x:c>
      <x:c r="R118" s="11" t="n">
        <x:v>9</x:v>
      </x:c>
      <x:c r="S118" s="7" t="n">
        <x:v>82</x:v>
      </x:c>
      <x:c r="T118" s="10" t="n">
        <x:v>0.5760869565217391</x:v>
      </x:c>
      <x:c r="U118" s="10" t="n">
        <x:v>0.36119115646258504</x:v>
      </x:c>
      <x:c r="V118" s="11" t="n">
        <x:v>5</x:v>
      </x:c>
      <x:c r="W118" s="11" t="n">
        <x:v>77</x:v>
      </x:c>
      <x:c r="X118" s="11"/>
      <x:c r="Y118" s="7" t="str">
        <x:v>负责人评分</x:v>
      </x:c>
      <x:c r="Z118" s="7" t="n">
        <x:f>ROUND(H118*M118,2)</x:f>
        <x:v>162732.71</x:v>
      </x:c>
      <x:c r="AA118" s="7" t="n">
        <x:v>107304.14</x:v>
      </x:c>
      <x:c r="AB118" s="7" t="n">
        <x:v>173350.48</x:v>
      </x:c>
      <x:c r="AC118" s="10" t="n">
        <x:v>0.63677</x:v>
      </x:c>
      <x:c r="AD118" s="7" t="n">
        <x:f>ROUND(I118-AA118,2)</x:f>
        <x:v>0</x:v>
      </x:c>
      <x:c r="AE118" s="10" t="n">
        <x:f>ROUND(N118-AC118,6)</x:f>
        <x:v>0</x:v>
      </x:c>
    </x:row>
    <x:row r="119" ht="22" customHeight="1">
      <x:c r="A119" s="7" t="str">
        <x:v>ANNUAL</x:v>
      </x:c>
      <x:c r="B119" s="7" t="str">
        <x:v>R0</x:v>
      </x:c>
      <x:c r="C119" s="7" t="str">
        <x:v>FY</x:v>
      </x:c>
      <x:c r="D119" s="7" t="str">
        <x:v>D02</x:v>
      </x:c>
      <x:c r="E119" s="7" t="str">
        <x:v>G05</x:v>
      </x:c>
      <x:c r="F119" s="7" t="str">
        <x:v>E018</x:v>
      </x:c>
      <x:c r="G119" s="7" t="str">
        <x:v>样例员工18</x:v>
      </x:c>
      <x:c r="H119" s="7" t="n">
        <x:v>359061.74</x:v>
      </x:c>
      <x:c r="I119" s="7" t="n">
        <x:f>MAX(Z119-K119,0)</x:f>
        <x:v>129219.41</x:v>
      </x:c>
      <x:c r="J119" s="7" t="n">
        <x:f>H119-Z119</x:f>
        <x:v>180568.06</x:v>
      </x:c>
      <x:c r="K119" s="7" t="n">
        <x:v>49274.27</x:v>
      </x:c>
      <x:c r="L119" s="7" t="n">
        <x:f>MAX(K119-Z119,0)</x:f>
        <x:v>0</x:v>
      </x:c>
      <x:c r="M119" s="10" t="n">
        <x:f>IF(P119=0,0,MIN(Q119/P119,1))</x:f>
        <x:v>0.4971113853416004</x:v>
      </x:c>
      <x:c r="N119" s="10" t="n">
        <x:f>ROUND(MIN(R119,'参数'!$B$11)/'参数'!$B$11*'参数'!$B$2+S119/100*'参数'!$B$3+T119*'参数'!$B$4+U119*'参数'!$B$5+MIN(V119,'参数'!$B$12)/'参数'!$B$12*'参数'!$B$6+W119/100*'参数'!$B$7,'参数'!$B$13)</x:f>
        <x:v>0.680307</x:v>
      </x:c>
      <x:c r="O119" s="7"/>
      <x:c r="P119" s="7" t="n">
        <x:v>4611895</x:v>
      </x:c>
      <x:c r="Q119" s="7" t="n">
        <x:v>2292625.5125</x:v>
      </x:c>
      <x:c r="R119" s="11" t="n">
        <x:v>6</x:v>
      </x:c>
      <x:c r="S119" s="7" t="n">
        <x:v>97</x:v>
      </x:c>
      <x:c r="T119" s="10" t="n">
        <x:v>0.6666666666666666</x:v>
      </x:c>
      <x:c r="U119" s="10" t="n">
        <x:v>0.3660234126984127</x:v>
      </x:c>
      <x:c r="V119" s="11" t="n">
        <x:v>5</x:v>
      </x:c>
      <x:c r="W119" s="11" t="n">
        <x:v>76</x:v>
      </x:c>
      <x:c r="X119" s="11"/>
      <x:c r="Y119" s="7" t="str">
        <x:v>负责人评分</x:v>
      </x:c>
      <x:c r="Z119" s="7" t="n">
        <x:f>ROUND(H119*M119,2)</x:f>
        <x:v>178493.68</x:v>
      </x:c>
      <x:c r="AA119" s="7" t="n">
        <x:v>129219.41</x:v>
      </x:c>
      <x:c r="AB119" s="7" t="n">
        <x:v>180568.06</x:v>
      </x:c>
      <x:c r="AC119" s="10" t="n">
        <x:v>0.680307</x:v>
      </x:c>
      <x:c r="AD119" s="7" t="n">
        <x:f>ROUND(I119-AA119,2)</x:f>
        <x:v>0</x:v>
      </x:c>
      <x:c r="AE119" s="10" t="n">
        <x:f>ROUND(N119-AC119,6)</x:f>
        <x:v>0</x:v>
      </x:c>
    </x:row>
    <x:row r="120" ht="22" customHeight="1">
      <x:c r="A120" s="7" t="str">
        <x:v>ANNUAL</x:v>
      </x:c>
      <x:c r="B120" s="7" t="str">
        <x:v>R0</x:v>
      </x:c>
      <x:c r="C120" s="7" t="str">
        <x:v>FY</x:v>
      </x:c>
      <x:c r="D120" s="7" t="str">
        <x:v>D02</x:v>
      </x:c>
      <x:c r="E120" s="7" t="str">
        <x:v>G05</x:v>
      </x:c>
      <x:c r="F120" s="7" t="str">
        <x:v>E019</x:v>
      </x:c>
      <x:c r="G120" s="7" t="str">
        <x:v>样例员工19</x:v>
      </x:c>
      <x:c r="H120" s="7" t="n">
        <x:v>320370.77</x:v>
      </x:c>
      <x:c r="I120" s="7" t="n">
        <x:f>MAX(Z120-K120,0)</x:f>
        <x:v>116850.63999999998</x:v>
      </x:c>
      <x:c r="J120" s="7" t="n">
        <x:f>H120-Z120</x:f>
        <x:v>157445.09000000003</x:v>
      </x:c>
      <x:c r="K120" s="7" t="n">
        <x:v>46075.04</x:v>
      </x:c>
      <x:c r="L120" s="7" t="n">
        <x:f>MAX(K120-Z120,0)</x:f>
        <x:v>0</x:v>
      </x:c>
      <x:c r="M120" s="10" t="n">
        <x:f>IF(P120=0,0,MIN(Q120/P120,1))</x:f>
        <x:v>0.508553519972771</x:v>
      </x:c>
      <x:c r="N120" s="10" t="n">
        <x:f>ROUND(MIN(R120,'参数'!$B$11)/'参数'!$B$11*'参数'!$B$2+S120/100*'参数'!$B$3+T120*'参数'!$B$4+U120*'参数'!$B$5+MIN(V120,'参数'!$B$12)/'参数'!$B$12*'参数'!$B$6+W120/100*'参数'!$B$7,'参数'!$B$13)</x:f>
        <x:v>0.607</x:v>
      </x:c>
      <x:c r="O120" s="7"/>
      <x:c r="P120" s="7" t="n">
        <x:v>3246545</x:v>
      </x:c>
      <x:c r="Q120" s="7" t="n">
        <x:v>1651041.8875</x:v>
      </x:c>
      <x:c r="R120" s="11" t="n">
        <x:v>3</x:v>
      </x:c>
      <x:c r="S120" s="7" t="n">
        <x:v>75</x:v>
      </x:c>
      <x:c r="T120" s="10" t="n">
        <x:v>0.8103448275862069</x:v>
      </x:c>
      <x:c r="U120" s="10" t="n">
        <x:v>0.3864934523809524</x:v>
      </x:c>
      <x:c r="V120" s="11" t="n">
        <x:v>4</x:v>
      </x:c>
      <x:c r="W120" s="11" t="n">
        <x:v>73</x:v>
      </x:c>
      <x:c r="X120" s="11"/>
      <x:c r="Y120" s="7" t="str">
        <x:v>负责人评分</x:v>
      </x:c>
      <x:c r="Z120" s="7" t="n">
        <x:f>ROUND(H120*M120,2)</x:f>
        <x:v>162925.68</x:v>
      </x:c>
      <x:c r="AA120" s="7" t="n">
        <x:v>116850.64</x:v>
      </x:c>
      <x:c r="AB120" s="7" t="n">
        <x:v>157445.09</x:v>
      </x:c>
      <x:c r="AC120" s="10" t="n">
        <x:v>0.607</x:v>
      </x:c>
      <x:c r="AD120" s="7" t="n">
        <x:f>ROUND(I120-AA120,2)</x:f>
        <x:v>0</x:v>
      </x:c>
      <x:c r="AE120" s="10" t="n">
        <x:f>ROUND(N120-AC120,6)</x:f>
        <x:v>0</x:v>
      </x:c>
    </x:row>
    <x:row r="121" ht="22" customHeight="1">
      <x:c r="A121" s="7" t="str">
        <x:v>ANNUAL</x:v>
      </x:c>
      <x:c r="B121" s="7" t="str">
        <x:v>R0</x:v>
      </x:c>
      <x:c r="C121" s="7" t="str">
        <x:v>FY</x:v>
      </x:c>
      <x:c r="D121" s="7" t="str">
        <x:v>D02</x:v>
      </x:c>
      <x:c r="E121" s="7" t="str">
        <x:v>G05</x:v>
      </x:c>
      <x:c r="F121" s="7" t="str">
        <x:v>E020</x:v>
      </x:c>
      <x:c r="G121" s="7" t="str">
        <x:v>样例员工20</x:v>
      </x:c>
      <x:c r="H121" s="7" t="n">
        <x:v>321502.89</x:v>
      </x:c>
      <x:c r="I121" s="7" t="n">
        <x:f>MAX(Z121-K121,0)</x:f>
        <x:v>107123.66</x:v>
      </x:c>
      <x:c r="J121" s="7" t="n">
        <x:f>H121-Z121</x:f>
        <x:v>161491.11000000002</x:v>
      </x:c>
      <x:c r="K121" s="7" t="n">
        <x:v>52888.12</x:v>
      </x:c>
      <x:c r="L121" s="7" t="n">
        <x:f>MAX(K121-Z121,0)</x:f>
        <x:v>0</x:v>
      </x:c>
      <x:c r="M121" s="10" t="n">
        <x:f>IF(P121=0,0,MIN(Q121/P121,1))</x:f>
        <x:v>0.4976993613312808</x:v>
      </x:c>
      <x:c r="N121" s="10" t="n">
        <x:f>ROUND(MIN(R121,'参数'!$B$11)/'参数'!$B$11*'参数'!$B$2+S121/100*'参数'!$B$3+T121*'参数'!$B$4+U121*'参数'!$B$5+MIN(V121,'参数'!$B$12)/'参数'!$B$12*'参数'!$B$6+W121/100*'参数'!$B$7,'参数'!$B$13)</x:f>
        <x:v>0.609145</x:v>
      </x:c>
      <x:c r="O121" s="7"/>
      <x:c r="P121" s="7" t="n">
        <x:v>3930050</x:v>
      </x:c>
      <x:c r="Q121" s="7" t="n">
        <x:v>1955983.375</x:v>
      </x:c>
      <x:c r="R121" s="11" t="n">
        <x:v>0</x:v>
      </x:c>
      <x:c r="S121" s="7" t="n">
        <x:v>67</x:v>
      </x:c>
      <x:c r="T121" s="10" t="n">
        <x:v>0.6666666666666666</x:v>
      </x:c>
      <x:c r="U121" s="10" t="n">
        <x:v>0.6238174603174603</x:v>
      </x:c>
      <x:c r="V121" s="11" t="n">
        <x:v>4</x:v>
      </x:c>
      <x:c r="W121" s="11" t="n">
        <x:v>92</x:v>
      </x:c>
      <x:c r="X121" s="11"/>
      <x:c r="Y121" s="7" t="str">
        <x:v>负责人评分</x:v>
      </x:c>
      <x:c r="Z121" s="7" t="n">
        <x:f>ROUND(H121*M121,2)</x:f>
        <x:v>160011.78</x:v>
      </x:c>
      <x:c r="AA121" s="7" t="n">
        <x:v>107123.66</x:v>
      </x:c>
      <x:c r="AB121" s="7" t="n">
        <x:v>161491.11</x:v>
      </x:c>
      <x:c r="AC121" s="10" t="n">
        <x:v>0.609145</x:v>
      </x:c>
      <x:c r="AD121" s="7" t="n">
        <x:f>ROUND(I121-AA121,2)</x:f>
        <x:v>0</x:v>
      </x:c>
      <x:c r="AE121" s="10" t="n">
        <x:f>ROUND(N121-AC121,6)</x:f>
        <x:v>0</x:v>
      </x:c>
    </x:row>
    <x:row r="122" ht="22" customHeight="1">
      <x:c r="A122" s="7" t="str">
        <x:v>ANNUAL</x:v>
      </x:c>
      <x:c r="B122" s="7" t="str">
        <x:v>R0</x:v>
      </x:c>
      <x:c r="C122" s="7" t="str">
        <x:v>FY</x:v>
      </x:c>
      <x:c r="D122" s="7" t="str">
        <x:v>D02</x:v>
      </x:c>
      <x:c r="E122" s="7" t="str">
        <x:v>G06</x:v>
      </x:c>
      <x:c r="F122" s="7" t="str">
        <x:v>E021</x:v>
      </x:c>
      <x:c r="G122" s="7" t="str">
        <x:v>样例员工21</x:v>
      </x:c>
      <x:c r="H122" s="7" t="n">
        <x:v>605873.22</x:v>
      </x:c>
      <x:c r="I122" s="7" t="n">
        <x:f>MAX(Z122-K122,0)</x:f>
        <x:v>0</x:v>
      </x:c>
      <x:c r="J122" s="7" t="n">
        <x:f>H122-Z122</x:f>
        <x:v>605873.22</x:v>
      </x:c>
      <x:c r="K122" s="7" t="n">
        <x:v>6300</x:v>
      </x:c>
      <x:c r="L122" s="7" t="n">
        <x:f>MAX(K122-Z122,0)</x:f>
        <x:v>6300</x:v>
      </x:c>
      <x:c r="M122" s="10" t="n">
        <x:f>IF(P122=0,0,MIN(Q122/P122,1))</x:f>
        <x:v>0</x:v>
      </x:c>
      <x:c r="N122" s="10" t="n">
        <x:f>ROUND(MIN(R122,'参数'!$B$11)/'参数'!$B$11*'参数'!$B$2+S122/100*'参数'!$B$3+T122*'参数'!$B$4+U122*'参数'!$B$5+MIN(V122,'参数'!$B$12)/'参数'!$B$12*'参数'!$B$6+W122/100*'参数'!$B$7,'参数'!$B$13)</x:f>
        <x:v>0.691608</x:v>
      </x:c>
      <x:c r="O122" s="7"/>
      <x:c r="P122" s="7" t="n">
        <x:v>5562245</x:v>
      </x:c>
      <x:c r="Q122" s="7" t="n">
        <x:v>0</x:v>
      </x:c>
      <x:c r="R122" s="11" t="n">
        <x:v>9</x:v>
      </x:c>
      <x:c r="S122" s="7" t="n">
        <x:v>79</x:v>
      </x:c>
      <x:c r="T122" s="10" t="n">
        <x:v>0.807909604519774</x:v>
      </x:c>
      <x:c r="U122" s="10" t="n">
        <x:v>0.5297376190476191</x:v>
      </x:c>
      <x:c r="V122" s="11" t="n">
        <x:v>4</x:v>
      </x:c>
      <x:c r="W122" s="11" t="n">
        <x:v>69</x:v>
      </x:c>
      <x:c r="X122" s="11"/>
      <x:c r="Y122" s="7" t="str">
        <x:v>负责人评分</x:v>
      </x:c>
      <x:c r="Z122" s="7" t="n">
        <x:f>ROUND(H122*M122,2)</x:f>
        <x:v>0</x:v>
      </x:c>
      <x:c r="AA122" s="7" t="n">
        <x:v>0</x:v>
      </x:c>
      <x:c r="AB122" s="7" t="n">
        <x:v>605873.22</x:v>
      </x:c>
      <x:c r="AC122" s="10" t="n">
        <x:v>0.691608</x:v>
      </x:c>
      <x:c r="AD122" s="7" t="n">
        <x:f>ROUND(I122-AA122,2)</x:f>
        <x:v>0</x:v>
      </x:c>
      <x:c r="AE122" s="10" t="n">
        <x:f>ROUND(N122-AC122,6)</x:f>
        <x:v>0</x:v>
      </x:c>
    </x:row>
    <x:row r="123" ht="22" customHeight="1">
      <x:c r="A123" s="7" t="str">
        <x:v>ANNUAL</x:v>
      </x:c>
      <x:c r="B123" s="7" t="str">
        <x:v>R0</x:v>
      </x:c>
      <x:c r="C123" s="7" t="str">
        <x:v>FY</x:v>
      </x:c>
      <x:c r="D123" s="7" t="str">
        <x:v>D02</x:v>
      </x:c>
      <x:c r="E123" s="7" t="str">
        <x:v>G06</x:v>
      </x:c>
      <x:c r="F123" s="7" t="str">
        <x:v>E022</x:v>
      </x:c>
      <x:c r="G123" s="7" t="str">
        <x:v>样例员工22</x:v>
      </x:c>
      <x:c r="H123" s="7" t="n">
        <x:v>663194.86</x:v>
      </x:c>
      <x:c r="I123" s="7" t="n">
        <x:f>MAX(Z123-K123,0)</x:f>
        <x:v>0</x:v>
      </x:c>
      <x:c r="J123" s="7" t="n">
        <x:f>H123-Z123</x:f>
        <x:v>663194.86</x:v>
      </x:c>
      <x:c r="K123" s="7" t="n">
        <x:v>1400</x:v>
      </x:c>
      <x:c r="L123" s="7" t="n">
        <x:f>MAX(K123-Z123,0)</x:f>
        <x:v>1400</x:v>
      </x:c>
      <x:c r="M123" s="10" t="n">
        <x:f>IF(P123=0,0,MIN(Q123/P123,1))</x:f>
        <x:v>0</x:v>
      </x:c>
      <x:c r="N123" s="10" t="n">
        <x:f>ROUND(MIN(R123,'参数'!$B$11)/'参数'!$B$11*'参数'!$B$2+S123/100*'参数'!$B$3+T123*'参数'!$B$4+U123*'参数'!$B$5+MIN(V123,'参数'!$B$12)/'参数'!$B$12*'参数'!$B$6+W123/100*'参数'!$B$7,'参数'!$B$13)</x:f>
        <x:v>0.757041</x:v>
      </x:c>
      <x:c r="O123" s="7"/>
      <x:c r="P123" s="7" t="n">
        <x:v>6646225</x:v>
      </x:c>
      <x:c r="Q123" s="7" t="n">
        <x:v>0</x:v>
      </x:c>
      <x:c r="R123" s="11" t="n">
        <x:v>6</x:v>
      </x:c>
      <x:c r="S123" s="7" t="n">
        <x:v>88</x:v>
      </x:c>
      <x:c r="T123" s="10" t="n">
        <x:v>0.6666666666666666</x:v>
      </x:c>
      <x:c r="U123" s="10" t="n">
        <x:v>0.7384694444444444</x:v>
      </x:c>
      <x:c r="V123" s="11" t="n">
        <x:v>4</x:v>
      </x:c>
      <x:c r="W123" s="11" t="n">
        <x:v>73</x:v>
      </x:c>
      <x:c r="X123" s="11"/>
      <x:c r="Y123" s="7" t="str">
        <x:v>负责人评分</x:v>
      </x:c>
      <x:c r="Z123" s="7" t="n">
        <x:f>ROUND(H123*M123,2)</x:f>
        <x:v>0</x:v>
      </x:c>
      <x:c r="AA123" s="7" t="n">
        <x:v>0</x:v>
      </x:c>
      <x:c r="AB123" s="7" t="n">
        <x:v>663194.86</x:v>
      </x:c>
      <x:c r="AC123" s="10" t="n">
        <x:v>0.757041</x:v>
      </x:c>
      <x:c r="AD123" s="7" t="n">
        <x:f>ROUND(I123-AA123,2)</x:f>
        <x:v>0</x:v>
      </x:c>
      <x:c r="AE123" s="10" t="n">
        <x:f>ROUND(N123-AC123,6)</x:f>
        <x:v>0</x:v>
      </x:c>
    </x:row>
    <x:row r="124" ht="22" customHeight="1">
      <x:c r="A124" s="7" t="str">
        <x:v>ANNUAL</x:v>
      </x:c>
      <x:c r="B124" s="7" t="str">
        <x:v>R0</x:v>
      </x:c>
      <x:c r="C124" s="7" t="str">
        <x:v>FY</x:v>
      </x:c>
      <x:c r="D124" s="7" t="str">
        <x:v>D02</x:v>
      </x:c>
      <x:c r="E124" s="7" t="str">
        <x:v>G06</x:v>
      </x:c>
      <x:c r="F124" s="7" t="str">
        <x:v>E023</x:v>
      </x:c>
      <x:c r="G124" s="7" t="str">
        <x:v>样例员工23</x:v>
      </x:c>
      <x:c r="H124" s="7" t="n">
        <x:v>637612.87</x:v>
      </x:c>
      <x:c r="I124" s="7" t="n">
        <x:f>MAX(Z124-K124,0)</x:f>
        <x:v>0</x:v>
      </x:c>
      <x:c r="J124" s="7" t="n">
        <x:f>H124-Z124</x:f>
        <x:v>637612.87</x:v>
      </x:c>
      <x:c r="K124" s="7" t="n">
        <x:v>4100</x:v>
      </x:c>
      <x:c r="L124" s="7" t="n">
        <x:f>MAX(K124-Z124,0)</x:f>
        <x:v>4100</x:v>
      </x:c>
      <x:c r="M124" s="10" t="n">
        <x:f>IF(P124=0,0,MIN(Q124/P124,1))</x:f>
        <x:v>0</x:v>
      </x:c>
      <x:c r="N124" s="10" t="n">
        <x:f>ROUND(MIN(R124,'参数'!$B$11)/'参数'!$B$11*'参数'!$B$2+S124/100*'参数'!$B$3+T124*'参数'!$B$4+U124*'参数'!$B$5+MIN(V124,'参数'!$B$12)/'参数'!$B$12*'参数'!$B$6+W124/100*'参数'!$B$7,'参数'!$B$13)</x:f>
        <x:v>0.727839</x:v>
      </x:c>
      <x:c r="O124" s="7"/>
      <x:c r="P124" s="7" t="n">
        <x:v>7831465</x:v>
      </x:c>
      <x:c r="Q124" s="7" t="n">
        <x:v>0</x:v>
      </x:c>
      <x:c r="R124" s="11" t="n">
        <x:v>3</x:v>
      </x:c>
      <x:c r="S124" s="7" t="n">
        <x:v>60</x:v>
      </x:c>
      <x:c r="T124" s="10" t="n">
        <x:v>0.575591985428051</x:v>
      </x:c>
      <x:c r="U124" s="10" t="n">
        <x:v>1</x:v>
      </x:c>
      <x:c r="V124" s="11" t="n">
        <x:v>5</x:v>
      </x:c>
      <x:c r="W124" s="11" t="n">
        <x:v>66</x:v>
      </x:c>
      <x:c r="X124" s="11"/>
      <x:c r="Y124" s="7" t="str">
        <x:v>负责人评分</x:v>
      </x:c>
      <x:c r="Z124" s="7" t="n">
        <x:f>ROUND(H124*M124,2)</x:f>
        <x:v>0</x:v>
      </x:c>
      <x:c r="AA124" s="7" t="n">
        <x:v>0</x:v>
      </x:c>
      <x:c r="AB124" s="7" t="n">
        <x:v>637612.87</x:v>
      </x:c>
      <x:c r="AC124" s="10" t="n">
        <x:v>0.727839</x:v>
      </x:c>
      <x:c r="AD124" s="7" t="n">
        <x:f>ROUND(I124-AA124,2)</x:f>
        <x:v>0</x:v>
      </x:c>
      <x:c r="AE124" s="10" t="n">
        <x:f>ROUND(N124-AC124,6)</x:f>
        <x:v>0</x:v>
      </x:c>
    </x:row>
    <x:row r="125" ht="22" customHeight="1">
      <x:c r="A125" s="7" t="str">
        <x:v>ANNUAL</x:v>
      </x:c>
      <x:c r="B125" s="7" t="str">
        <x:v>R0</x:v>
      </x:c>
      <x:c r="C125" s="7" t="str">
        <x:v>FY</x:v>
      </x:c>
      <x:c r="D125" s="7" t="str">
        <x:v>D02</x:v>
      </x:c>
      <x:c r="E125" s="7" t="str">
        <x:v>G06</x:v>
      </x:c>
      <x:c r="F125" s="7" t="str">
        <x:v>E024</x:v>
      </x:c>
      <x:c r="G125" s="7" t="str">
        <x:v>样例员工24</x:v>
      </x:c>
      <x:c r="H125" s="7" t="n">
        <x:v>693382.17</x:v>
      </x:c>
      <x:c r="I125" s="7" t="n">
        <x:f>MAX(Z125-K125,0)</x:f>
        <x:v>0</x:v>
      </x:c>
      <x:c r="J125" s="7" t="n">
        <x:f>H125-Z125</x:f>
        <x:v>693382.17</x:v>
      </x:c>
      <x:c r="K125" s="7" t="n">
        <x:v>200000</x:v>
      </x:c>
      <x:c r="L125" s="7" t="n">
        <x:f>MAX(K125-Z125,0)</x:f>
        <x:v>200000</x:v>
      </x:c>
      <x:c r="M125" s="10" t="n">
        <x:f>IF(P125=0,0,MIN(Q125/P125,1))</x:f>
        <x:v>0</x:v>
      </x:c>
      <x:c r="N125" s="10" t="n">
        <x:f>ROUND(MIN(R125,'参数'!$B$11)/'参数'!$B$11*'参数'!$B$2+S125/100*'参数'!$B$3+T125*'参数'!$B$4+U125*'参数'!$B$5+MIN(V125,'参数'!$B$12)/'参数'!$B$12*'参数'!$B$6+W125/100*'参数'!$B$7,'参数'!$B$13)</x:f>
        <x:v>0.7915</x:v>
      </x:c>
      <x:c r="O125" s="7"/>
      <x:c r="P125" s="7" t="n">
        <x:v>7599065</x:v>
      </x:c>
      <x:c r="Q125" s="7" t="n">
        <x:v>0</x:v>
      </x:c>
      <x:c r="R125" s="11" t="n">
        <x:v>0</x:v>
      </x:c>
      <x:c r="S125" s="7" t="n">
        <x:v>97</x:v>
      </x:c>
      <x:c r="T125" s="10" t="n">
        <x:v>0.6666666666666666</x:v>
      </x:c>
      <x:c r="U125" s="10" t="n">
        <x:v>1</x:v>
      </x:c>
      <x:c r="V125" s="11" t="n">
        <x:v>5</x:v>
      </x:c>
      <x:c r="W125" s="11" t="n">
        <x:v>90</x:v>
      </x:c>
      <x:c r="X125" s="11"/>
      <x:c r="Y125" s="7" t="str">
        <x:v>负责人评分</x:v>
      </x:c>
      <x:c r="Z125" s="7" t="n">
        <x:f>ROUND(H125*M125,2)</x:f>
        <x:v>0</x:v>
      </x:c>
      <x:c r="AA125" s="7" t="n">
        <x:v>0</x:v>
      </x:c>
      <x:c r="AB125" s="7" t="n">
        <x:v>693382.17</x:v>
      </x:c>
      <x:c r="AC125" s="10" t="n">
        <x:v>0.7915</x:v>
      </x:c>
      <x:c r="AD125" s="7" t="n">
        <x:f>ROUND(I125-AA125,2)</x:f>
        <x:v>0</x:v>
      </x:c>
      <x:c r="AE125" s="10" t="n">
        <x:f>ROUND(N125-AC125,6)</x:f>
        <x:v>0</x:v>
      </x:c>
    </x:row>
  </x:sheetData>
  <x:conditionalFormatting sqref="AD6:AE125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794899eed54a5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2" ht="27" customHeight="1">
      <x:c r="A2" s="8" t="str">
        <x:v>项目计算依据</x:v>
      </x:c>
    </x:row>
    <x:row r="3">
      <x:c r="A3" s="9" t="str">
        <x:v>回款已按销售单及截止日分别汇总；过程奖使用里程碑奖金列。</x:v>
      </x:c>
    </x:row>
    <x:row r="5" ht="42" customHeight="1">
      <x:c r="A5" s="6" t="str">
        <x:v>方案</x:v>
      </x:c>
      <x:c r="B5" s="6" t="str">
        <x:v>周期</x:v>
      </x:c>
      <x:c r="C5" s="6" t="str">
        <x:v>项目</x:v>
      </x:c>
      <x:c r="D5" s="6" t="str">
        <x:v>部门</x:v>
      </x:c>
      <x:c r="E5" s="6" t="str">
        <x:v>小组</x:v>
      </x:c>
      <x:c r="F5" s="6" t="str">
        <x:v>区域</x:v>
      </x:c>
      <x:c r="G5" s="6" t="str">
        <x:v>销售额</x:v>
      </x:c>
      <x:c r="H5" s="6" t="str">
        <x:v>成本</x:v>
      </x:c>
      <x:c r="I5" s="6" t="str">
        <x:v>费用</x:v>
      </x:c>
      <x:c r="J5" s="6" t="str">
        <x:v>净利润</x:v>
      </x:c>
      <x:c r="K5" s="6" t="str">
        <x:v>毛利率</x:v>
      </x:c>
      <x:c r="L5" s="6" t="str">
        <x:v>区域系数</x:v>
      </x:c>
      <x:c r="M5" s="6" t="str">
        <x:v>新老系数</x:v>
      </x:c>
      <x:c r="N5" s="6" t="str">
        <x:v>毛利系数</x:v>
      </x:c>
      <x:c r="O5" s="6" t="str">
        <x:v>有效销售额</x:v>
      </x:c>
      <x:c r="P5" s="6" t="str">
        <x:v>期间销售单回款</x:v>
      </x:c>
      <x:c r="Q5" s="6" t="str">
        <x:v>里程碑奖金</x:v>
      </x:c>
      <x:c r="R5" s="6" t="str">
        <x:v>期望有效销售额</x:v>
      </x:c>
      <x:c r="S5" s="6" t="str">
        <x:v>有效额差异</x:v>
      </x:c>
    </x:row>
    <x:row r="6" ht="22" customHeight="1">
      <x:c r="A6" s="7" t="str">
        <x:v>QUARTER</x:v>
      </x:c>
      <x:c r="B6" s="7" t="str">
        <x:v>Q3</x:v>
      </x:c>
      <x:c r="C6" s="7" t="str">
        <x:v>P001</x:v>
      </x:c>
      <x:c r="D6" s="7" t="str">
        <x:v>D01</x:v>
      </x:c>
      <x:c r="E6" s="7" t="str">
        <x:v>G01</x:v>
      </x:c>
      <x:c r="F6" s="7" t="str">
        <x:v>华东</x:v>
      </x:c>
      <x:c r="G6" s="7" t="n">
        <x:v>1584000</x:v>
      </x:c>
      <x:c r="H6" s="7" t="n">
        <x:v>1425600</x:v>
      </x:c>
      <x:c r="I6" s="7" t="n">
        <x:v>95040</x:v>
      </x:c>
      <x:c r="J6" s="7" t="n">
        <x:f>G6-H6-I6</x:f>
        <x:v>63360</x:v>
      </x:c>
      <x:c r="K6" s="10" t="n">
        <x:f>IF(G6=0,0,(G6-H6)/G6)</x:f>
        <x:v>0.1</x:v>
      </x:c>
      <x:c r="L6" s="10" t="n">
        <x:v>1.1</x:v>
      </x:c>
      <x:c r="M6" s="10" t="n">
        <x:v>1.1</x:v>
      </x:c>
      <x:c r="N6" s="10" t="n">
        <x:v>0</x:v>
      </x:c>
      <x:c r="O6" s="7" t="n">
        <x:f>G6*L6*M6*N6</x:f>
        <x:v>0</x:v>
      </x:c>
      <x:c r="P6" s="7" t="n">
        <x:v>696960</x:v>
      </x:c>
      <x:c r="Q6" s="7" t="n">
        <x:v>6050</x:v>
      </x:c>
      <x:c r="R6" s="7" t="n">
        <x:v>0</x:v>
      </x:c>
      <x:c r="S6" s="7" t="n">
        <x:f>ROUND(O6-R6,6)</x:f>
        <x:v>0</x:v>
      </x:c>
    </x:row>
    <x:row r="7" ht="22" customHeight="1">
      <x:c r="A7" s="7" t="str">
        <x:v>QUARTER</x:v>
      </x:c>
      <x:c r="B7" s="7" t="str">
        <x:v>Q3</x:v>
      </x:c>
      <x:c r="C7" s="7" t="str">
        <x:v>P002</x:v>
      </x:c>
      <x:c r="D7" s="7" t="str">
        <x:v>D01</x:v>
      </x:c>
      <x:c r="E7" s="7" t="str">
        <x:v>G01</x:v>
      </x:c>
      <x:c r="F7" s="7" t="str">
        <x:v>华南</x:v>
      </x:c>
      <x:c r="G7" s="7" t="n">
        <x:v>1067000</x:v>
      </x:c>
      <x:c r="H7" s="7" t="n">
        <x:v>906950</x:v>
      </x:c>
      <x:c r="I7" s="7" t="n">
        <x:v>192060</x:v>
      </x:c>
      <x:c r="J7" s="7" t="n">
        <x:f>G7-H7-I7</x:f>
        <x:v>-32010</x:v>
      </x:c>
      <x:c r="K7" s="10" t="n">
        <x:f>IF(G7=0,0,(G7-H7)/G7)</x:f>
        <x:v>0.15</x:v>
      </x:c>
      <x:c r="L7" s="10" t="n">
        <x:v>1</x:v>
      </x:c>
      <x:c r="M7" s="10" t="n">
        <x:v>0.95</x:v>
      </x:c>
      <x:c r="N7" s="10" t="n">
        <x:v>0.8</x:v>
      </x:c>
      <x:c r="O7" s="7" t="n">
        <x:f>G7*L7*M7*N7</x:f>
        <x:v>810920</x:v>
      </x:c>
      <x:c r="P7" s="7" t="n">
        <x:v>298760</x:v>
      </x:c>
      <x:c r="Q7" s="7" t="n">
        <x:v>15675</x:v>
      </x:c>
      <x:c r="R7" s="7" t="n">
        <x:v>810920</x:v>
      </x:c>
      <x:c r="S7" s="7" t="n">
        <x:f>ROUND(O7-R7,6)</x:f>
        <x:v>0</x:v>
      </x:c>
    </x:row>
    <x:row r="8" ht="22" customHeight="1">
      <x:c r="A8" s="7" t="str">
        <x:v>QUARTER</x:v>
      </x:c>
      <x:c r="B8" s="7" t="str">
        <x:v>Q3</x:v>
      </x:c>
      <x:c r="C8" s="7" t="str">
        <x:v>P003</x:v>
      </x:c>
      <x:c r="D8" s="7" t="str">
        <x:v>D01</x:v>
      </x:c>
      <x:c r="E8" s="7" t="str">
        <x:v>G01</x:v>
      </x:c>
      <x:c r="F8" s="7" t="str">
        <x:v>华北</x:v>
      </x:c>
      <x:c r="G8" s="7" t="n">
        <x:v>1661000</x:v>
      </x:c>
      <x:c r="H8" s="7" t="n">
        <x:v>1328800</x:v>
      </x:c>
      <x:c r="I8" s="7" t="n">
        <x:v>166100</x:v>
      </x:c>
      <x:c r="J8" s="7" t="n">
        <x:f>G8-H8-I8</x:f>
        <x:v>166100</x:v>
      </x:c>
      <x:c r="K8" s="10" t="n">
        <x:f>IF(G8=0,0,(G8-H8)/G8)</x:f>
        <x:v>0.2</x:v>
      </x:c>
      <x:c r="L8" s="10" t="n">
        <x:v>0.9</x:v>
      </x:c>
      <x:c r="M8" s="10" t="n">
        <x:v>1.1</x:v>
      </x:c>
      <x:c r="N8" s="10" t="n">
        <x:v>0.8</x:v>
      </x:c>
      <x:c r="O8" s="7" t="n">
        <x:f>G8*L8*M8*N8</x:f>
        <x:v>1315512.0000000002</x:v>
      </x:c>
      <x:c r="P8" s="7" t="n">
        <x:v>664400</x:v>
      </x:c>
      <x:c r="Q8" s="7" t="n">
        <x:v>18562.5</x:v>
      </x:c>
      <x:c r="R8" s="7" t="n">
        <x:v>1315512</x:v>
      </x:c>
      <x:c r="S8" s="7" t="n">
        <x:f>ROUND(O8-R8,6)</x:f>
        <x:v>0</x:v>
      </x:c>
    </x:row>
    <x:row r="9" ht="22" customHeight="1">
      <x:c r="A9" s="7" t="str">
        <x:v>QUARTER</x:v>
      </x:c>
      <x:c r="B9" s="7" t="str">
        <x:v>Q3</x:v>
      </x:c>
      <x:c r="C9" s="7" t="str">
        <x:v>P004</x:v>
      </x:c>
      <x:c r="D9" s="7" t="str">
        <x:v>D01</x:v>
      </x:c>
      <x:c r="E9" s="7" t="str">
        <x:v>G01</x:v>
      </x:c>
      <x:c r="F9" s="7" t="str">
        <x:v>西部</x:v>
      </x:c>
      <x:c r="G9" s="7" t="n">
        <x:v>1254000</x:v>
      </x:c>
      <x:c r="H9" s="7" t="n">
        <x:v>940500</x:v>
      </x:c>
      <x:c r="I9" s="7" t="n">
        <x:v>75240</x:v>
      </x:c>
      <x:c r="J9" s="7" t="n">
        <x:f>G9-H9-I9</x:f>
        <x:v>238260</x:v>
      </x:c>
      <x:c r="K9" s="10" t="n">
        <x:f>IF(G9=0,0,(G9-H9)/G9)</x:f>
        <x:v>0.25</x:v>
      </x:c>
      <x:c r="L9" s="10" t="n">
        <x:v>1.2</x:v>
      </x:c>
      <x:c r="M9" s="10" t="n">
        <x:v>0.95</x:v>
      </x:c>
      <x:c r="N9" s="10" t="n">
        <x:v>1</x:v>
      </x:c>
      <x:c r="O9" s="7" t="n">
        <x:f>G9*L9*M9*N9</x:f>
        <x:v>1429560</x:v>
      </x:c>
      <x:c r="P9" s="7" t="n">
        <x:v>457710</x:v>
      </x:c>
      <x:c r="Q9" s="7" t="n">
        <x:v>17100</x:v>
      </x:c>
      <x:c r="R9" s="7" t="n">
        <x:v>1429560</x:v>
      </x:c>
      <x:c r="S9" s="7" t="n">
        <x:f>ROUND(O9-R9,6)</x:f>
        <x:v>0</x:v>
      </x:c>
    </x:row>
    <x:row r="10" ht="22" customHeight="1">
      <x:c r="A10" s="7" t="str">
        <x:v>QUARTER</x:v>
      </x:c>
      <x:c r="B10" s="7" t="str">
        <x:v>Q3</x:v>
      </x:c>
      <x:c r="C10" s="7" t="str">
        <x:v>P005</x:v>
      </x:c>
      <x:c r="D10" s="7" t="str">
        <x:v>D01</x:v>
      </x:c>
      <x:c r="E10" s="7" t="str">
        <x:v>G01</x:v>
      </x:c>
      <x:c r="F10" s="7" t="str">
        <x:v>华东</x:v>
      </x:c>
      <x:c r="G10" s="7" t="n">
        <x:v>858000</x:v>
      </x:c>
      <x:c r="H10" s="7" t="n">
        <x:v>600600</x:v>
      </x:c>
      <x:c r="I10" s="7" t="n">
        <x:v>154440</x:v>
      </x:c>
      <x:c r="J10" s="7" t="n">
        <x:f>G10-H10-I10</x:f>
        <x:v>102960</x:v>
      </x:c>
      <x:c r="K10" s="10" t="n">
        <x:f>IF(G10=0,0,(G10-H10)/G10)</x:f>
        <x:v>0.3</x:v>
      </x:c>
      <x:c r="L10" s="10" t="n">
        <x:v>1.1</x:v>
      </x:c>
      <x:c r="M10" s="10" t="n">
        <x:v>1.1</x:v>
      </x:c>
      <x:c r="N10" s="10" t="n">
        <x:v>1</x:v>
      </x:c>
      <x:c r="O10" s="7" t="n">
        <x:f>G10*L10*M10*N10</x:f>
        <x:v>1038180.0000000002</x:v>
      </x:c>
      <x:c r="P10" s="7" t="n">
        <x:v>377520</x:v>
      </x:c>
      <x:c r="Q10" s="7" t="n">
        <x:v>6655</x:v>
      </x:c>
      <x:c r="R10" s="7" t="n">
        <x:v>1038180</x:v>
      </x:c>
      <x:c r="S10" s="7" t="n">
        <x:f>ROUND(O10-R10,6)</x:f>
        <x:v>0</x:v>
      </x:c>
    </x:row>
    <x:row r="11" ht="22" customHeight="1">
      <x:c r="A11" s="7" t="str">
        <x:v>QUARTER</x:v>
      </x:c>
      <x:c r="B11" s="7" t="str">
        <x:v>Q3</x:v>
      </x:c>
      <x:c r="C11" s="7" t="str">
        <x:v>P006</x:v>
      </x:c>
      <x:c r="D11" s="7" t="str">
        <x:v>D01</x:v>
      </x:c>
      <x:c r="E11" s="7" t="str">
        <x:v>G01</x:v>
      </x:c>
      <x:c r="F11" s="7" t="str">
        <x:v>华南</x:v>
      </x:c>
      <x:c r="G11" s="7" t="n">
        <x:v>1199000</x:v>
      </x:c>
      <x:c r="H11" s="7" t="n">
        <x:v>779350</x:v>
      </x:c>
      <x:c r="I11" s="7" t="n">
        <x:v>119900</x:v>
      </x:c>
      <x:c r="J11" s="7" t="n">
        <x:f>G11-H11-I11</x:f>
        <x:v>299750</x:v>
      </x:c>
      <x:c r="K11" s="10" t="n">
        <x:f>IF(G11=0,0,(G11-H11)/G11)</x:f>
        <x:v>0.35</x:v>
      </x:c>
      <x:c r="L11" s="10" t="n">
        <x:v>1</x:v>
      </x:c>
      <x:c r="M11" s="10" t="n">
        <x:v>0.95</x:v>
      </x:c>
      <x:c r="N11" s="10" t="n">
        <x:v>1.2</x:v>
      </x:c>
      <x:c r="O11" s="7" t="n">
        <x:f>G11*L11*M11*N11</x:f>
        <x:v>1366860</x:v>
      </x:c>
      <x:c r="P11" s="7" t="n">
        <x:v>335720</x:v>
      </x:c>
      <x:c r="Q11" s="7" t="n">
        <x:v>5937.5</x:v>
      </x:c>
      <x:c r="R11" s="7" t="n">
        <x:v>1366860</x:v>
      </x:c>
      <x:c r="S11" s="7" t="n">
        <x:f>ROUND(O11-R11,6)</x:f>
        <x:v>0</x:v>
      </x:c>
    </x:row>
    <x:row r="12" ht="22" customHeight="1">
      <x:c r="A12" s="7" t="str">
        <x:v>QUARTER</x:v>
      </x:c>
      <x:c r="B12" s="7" t="str">
        <x:v>Q3</x:v>
      </x:c>
      <x:c r="C12" s="7" t="str">
        <x:v>P007</x:v>
      </x:c>
      <x:c r="D12" s="7" t="str">
        <x:v>D01</x:v>
      </x:c>
      <x:c r="E12" s="7" t="str">
        <x:v>G02</x:v>
      </x:c>
      <x:c r="F12" s="7" t="str">
        <x:v>华北</x:v>
      </x:c>
      <x:c r="G12" s="7" t="n">
        <x:v>1331000</x:v>
      </x:c>
      <x:c r="H12" s="7" t="n">
        <x:v>1197900</x:v>
      </x:c>
      <x:c r="I12" s="7" t="n">
        <x:v>79860</x:v>
      </x:c>
      <x:c r="J12" s="7" t="n">
        <x:f>G12-H12-I12</x:f>
        <x:v>53240</x:v>
      </x:c>
      <x:c r="K12" s="10" t="n">
        <x:f>IF(G12=0,0,(G12-H12)/G12)</x:f>
        <x:v>0.1</x:v>
      </x:c>
      <x:c r="L12" s="10" t="n">
        <x:v>0.9</x:v>
      </x:c>
      <x:c r="M12" s="10" t="n">
        <x:v>1.1</x:v>
      </x:c>
      <x:c r="N12" s="10" t="n">
        <x:v>0</x:v>
      </x:c>
      <x:c r="O12" s="7" t="n">
        <x:f>G12*L12*M12*N12</x:f>
        <x:v>0</x:v>
      </x:c>
      <x:c r="P12" s="7" t="n">
        <x:v>532400</x:v>
      </x:c>
      <x:c r="Q12" s="7" t="n">
        <x:v>14850</x:v>
      </x:c>
      <x:c r="R12" s="7" t="n">
        <x:v>0</x:v>
      </x:c>
      <x:c r="S12" s="7" t="n">
        <x:f>ROUND(O12-R12,6)</x:f>
        <x:v>0</x:v>
      </x:c>
    </x:row>
    <x:row r="13" ht="22" customHeight="1">
      <x:c r="A13" s="7" t="str">
        <x:v>QUARTER</x:v>
      </x:c>
      <x:c r="B13" s="7" t="str">
        <x:v>Q3</x:v>
      </x:c>
      <x:c r="C13" s="7" t="str">
        <x:v>P008</x:v>
      </x:c>
      <x:c r="D13" s="7" t="str">
        <x:v>D01</x:v>
      </x:c>
      <x:c r="E13" s="7" t="str">
        <x:v>G02</x:v>
      </x:c>
      <x:c r="F13" s="7" t="str">
        <x:v>西部</x:v>
      </x:c>
      <x:c r="G13" s="7" t="n">
        <x:v>1672000</x:v>
      </x:c>
      <x:c r="H13" s="7" t="n">
        <x:v>1421200</x:v>
      </x:c>
      <x:c r="I13" s="7" t="n">
        <x:v>300960</x:v>
      </x:c>
      <x:c r="J13" s="7" t="n">
        <x:f>G13-H13-I13</x:f>
        <x:v>-50160</x:v>
      </x:c>
      <x:c r="K13" s="10" t="n">
        <x:f>IF(G13=0,0,(G13-H13)/G13)</x:f>
        <x:v>0.15</x:v>
      </x:c>
      <x:c r="L13" s="10" t="n">
        <x:v>1.2</x:v>
      </x:c>
      <x:c r="M13" s="10" t="n">
        <x:v>0.95</x:v>
      </x:c>
      <x:c r="N13" s="10" t="n">
        <x:v>0.8</x:v>
      </x:c>
      <x:c r="O13" s="7" t="n">
        <x:f>G13*L13*M13*N13</x:f>
        <x:v>1524864</x:v>
      </x:c>
      <x:c r="P13" s="7" t="n">
        <x:v>610280</x:v>
      </x:c>
      <x:c r="Q13" s="7" t="n">
        <x:v>18810</x:v>
      </x:c>
      <x:c r="R13" s="7" t="n">
        <x:v>1524864</x:v>
      </x:c>
      <x:c r="S13" s="7" t="n">
        <x:f>ROUND(O13-R13,6)</x:f>
        <x:v>0</x:v>
      </x:c>
    </x:row>
    <x:row r="14" ht="22" customHeight="1">
      <x:c r="A14" s="7" t="str">
        <x:v>QUARTER</x:v>
      </x:c>
      <x:c r="B14" s="7" t="str">
        <x:v>Q3</x:v>
      </x:c>
      <x:c r="C14" s="7" t="str">
        <x:v>P009</x:v>
      </x:c>
      <x:c r="D14" s="7" t="str">
        <x:v>D01</x:v>
      </x:c>
      <x:c r="E14" s="7" t="str">
        <x:v>G02</x:v>
      </x:c>
      <x:c r="F14" s="7" t="str">
        <x:v>华东</x:v>
      </x:c>
      <x:c r="G14" s="7" t="n">
        <x:v>704000</x:v>
      </x:c>
      <x:c r="H14" s="7" t="n">
        <x:v>563200</x:v>
      </x:c>
      <x:c r="I14" s="7" t="n">
        <x:v>70400</x:v>
      </x:c>
      <x:c r="J14" s="7" t="n">
        <x:f>G14-H14-I14</x:f>
        <x:v>70400</x:v>
      </x:c>
      <x:c r="K14" s="10" t="n">
        <x:f>IF(G14=0,0,(G14-H14)/G14)</x:f>
        <x:v>0.2</x:v>
      </x:c>
      <x:c r="L14" s="10" t="n">
        <x:v>1.1</x:v>
      </x:c>
      <x:c r="M14" s="10" t="n">
        <x:v>1.1</x:v>
      </x:c>
      <x:c r="N14" s="10" t="n">
        <x:v>0.8</x:v>
      </x:c>
      <x:c r="O14" s="7" t="n">
        <x:f>G14*L14*M14*N14</x:f>
        <x:v>681472.0000000002</x:v>
      </x:c>
      <x:c r="P14" s="7" t="n">
        <x:v>309760</x:v>
      </x:c>
      <x:c r="Q14" s="7" t="n">
        <x:v>7562.5</x:v>
      </x:c>
      <x:c r="R14" s="7" t="n">
        <x:v>681472</x:v>
      </x:c>
      <x:c r="S14" s="7" t="n">
        <x:f>ROUND(O14-R14,6)</x:f>
        <x:v>0</x:v>
      </x:c>
    </x:row>
    <x:row r="15" ht="22" customHeight="1">
      <x:c r="A15" s="7" t="str">
        <x:v>QUARTER</x:v>
      </x:c>
      <x:c r="B15" s="7" t="str">
        <x:v>Q3</x:v>
      </x:c>
      <x:c r="C15" s="7" t="str">
        <x:v>P010</x:v>
      </x:c>
      <x:c r="D15" s="7" t="str">
        <x:v>D01</x:v>
      </x:c>
      <x:c r="E15" s="7" t="str">
        <x:v>G02</x:v>
      </x:c>
      <x:c r="F15" s="7" t="str">
        <x:v>华南</x:v>
      </x:c>
      <x:c r="G15" s="7" t="n">
        <x:v>1760000</x:v>
      </x:c>
      <x:c r="H15" s="7" t="n">
        <x:v>1320000</x:v>
      </x:c>
      <x:c r="I15" s="7" t="n">
        <x:v>105600</x:v>
      </x:c>
      <x:c r="J15" s="7" t="n">
        <x:f>G15-H15-I15</x:f>
        <x:v>334400</x:v>
      </x:c>
      <x:c r="K15" s="10" t="n">
        <x:f>IF(G15=0,0,(G15-H15)/G15)</x:f>
        <x:v>0.25</x:v>
      </x:c>
      <x:c r="L15" s="10" t="n">
        <x:v>1</x:v>
      </x:c>
      <x:c r="M15" s="10" t="n">
        <x:v>0.95</x:v>
      </x:c>
      <x:c r="N15" s="10" t="n">
        <x:v>1</x:v>
      </x:c>
      <x:c r="O15" s="7" t="n">
        <x:f>G15*L15*M15*N15</x:f>
        <x:v>1672000</x:v>
      </x:c>
      <x:c r="P15" s="7" t="n">
        <x:v>492800</x:v>
      </x:c>
      <x:c r="Q15" s="7" t="n">
        <x:v>14250</x:v>
      </x:c>
      <x:c r="R15" s="7" t="n">
        <x:v>1672000</x:v>
      </x:c>
      <x:c r="S15" s="7" t="n">
        <x:f>ROUND(O15-R15,6)</x:f>
        <x:v>0</x:v>
      </x:c>
    </x:row>
    <x:row r="16" ht="22" customHeight="1">
      <x:c r="A16" s="7" t="str">
        <x:v>QUARTER</x:v>
      </x:c>
      <x:c r="B16" s="7" t="str">
        <x:v>Q3</x:v>
      </x:c>
      <x:c r="C16" s="7" t="str">
        <x:v>P011</x:v>
      </x:c>
      <x:c r="D16" s="7" t="str">
        <x:v>D01</x:v>
      </x:c>
      <x:c r="E16" s="7" t="str">
        <x:v>G02</x:v>
      </x:c>
      <x:c r="F16" s="7" t="str">
        <x:v>华北</x:v>
      </x:c>
      <x:c r="G16" s="7" t="n">
        <x:v>1397000</x:v>
      </x:c>
      <x:c r="H16" s="7" t="n">
        <x:v>977900</x:v>
      </x:c>
      <x:c r="I16" s="7" t="n">
        <x:v>251460</x:v>
      </x:c>
      <x:c r="J16" s="7" t="n">
        <x:f>G16-H16-I16</x:f>
        <x:v>167640</x:v>
      </x:c>
      <x:c r="K16" s="10" t="n">
        <x:f>IF(G16=0,0,(G16-H16)/G16)</x:f>
        <x:v>0.3</x:v>
      </x:c>
      <x:c r="L16" s="10" t="n">
        <x:v>0.9</x:v>
      </x:c>
      <x:c r="M16" s="10" t="n">
        <x:v>1.1</x:v>
      </x:c>
      <x:c r="N16" s="10" t="n">
        <x:v>1</x:v>
      </x:c>
      <x:c r="O16" s="7" t="n">
        <x:f>G16*L16*M16*N16</x:f>
        <x:v>1383030</x:v>
      </x:c>
      <x:c r="P16" s="7" t="n">
        <x:v>558800</x:v>
      </x:c>
      <x:c r="Q16" s="7" t="n">
        <x:v>5445</x:v>
      </x:c>
      <x:c r="R16" s="7" t="n">
        <x:v>1383030</x:v>
      </x:c>
      <x:c r="S16" s="7" t="n">
        <x:f>ROUND(O16-R16,6)</x:f>
        <x:v>0</x:v>
      </x:c>
    </x:row>
    <x:row r="17" ht="22" customHeight="1">
      <x:c r="A17" s="7" t="str">
        <x:v>QUARTER</x:v>
      </x:c>
      <x:c r="B17" s="7" t="str">
        <x:v>Q3</x:v>
      </x:c>
      <x:c r="C17" s="7" t="str">
        <x:v>P012</x:v>
      </x:c>
      <x:c r="D17" s="7" t="str">
        <x:v>D01</x:v>
      </x:c>
      <x:c r="E17" s="7" t="str">
        <x:v>G02</x:v>
      </x:c>
      <x:c r="F17" s="7" t="str">
        <x:v>西部</x:v>
      </x:c>
      <x:c r="G17" s="7" t="n">
        <x:v>759000</x:v>
      </x:c>
      <x:c r="H17" s="7" t="n">
        <x:v>493350</x:v>
      </x:c>
      <x:c r="I17" s="7" t="n">
        <x:v>75900</x:v>
      </x:c>
      <x:c r="J17" s="7" t="n">
        <x:f>G17-H17-I17</x:f>
        <x:v>189750</x:v>
      </x:c>
      <x:c r="K17" s="10" t="n">
        <x:f>IF(G17=0,0,(G17-H17)/G17)</x:f>
        <x:v>0.35</x:v>
      </x:c>
      <x:c r="L17" s="10" t="n">
        <x:v>1.2</x:v>
      </x:c>
      <x:c r="M17" s="10" t="n">
        <x:v>0.95</x:v>
      </x:c>
      <x:c r="N17" s="10" t="n">
        <x:v>1.2</x:v>
      </x:c>
      <x:c r="O17" s="7" t="n">
        <x:f>G17*L17*M17*N17</x:f>
        <x:v>1038312</x:v>
      </x:c>
      <x:c r="P17" s="7" t="n">
        <x:v>277035</x:v>
      </x:c>
      <x:c r="Q17" s="7" t="n">
        <x:v>21375</x:v>
      </x:c>
      <x:c r="R17" s="7" t="n">
        <x:v>1038312</x:v>
      </x:c>
      <x:c r="S17" s="7" t="n">
        <x:f>ROUND(O17-R17,6)</x:f>
        <x:v>0</x:v>
      </x:c>
    </x:row>
    <x:row r="18" ht="22" customHeight="1">
      <x:c r="A18" s="7" t="str">
        <x:v>QUARTER</x:v>
      </x:c>
      <x:c r="B18" s="7" t="str">
        <x:v>Q3</x:v>
      </x:c>
      <x:c r="C18" s="7" t="str">
        <x:v>P013</x:v>
      </x:c>
      <x:c r="D18" s="7" t="str">
        <x:v>D01</x:v>
      </x:c>
      <x:c r="E18" s="7" t="str">
        <x:v>G03</x:v>
      </x:c>
      <x:c r="F18" s="7" t="str">
        <x:v>华东</x:v>
      </x:c>
      <x:c r="G18" s="7" t="n">
        <x:v>550000</x:v>
      </x:c>
      <x:c r="H18" s="7" t="n">
        <x:v>495000</x:v>
      </x:c>
      <x:c r="I18" s="7" t="n">
        <x:v>33000</x:v>
      </x:c>
      <x:c r="J18" s="7" t="n">
        <x:f>G18-H18-I18</x:f>
        <x:v>22000</x:v>
      </x:c>
      <x:c r="K18" s="10" t="n">
        <x:f>IF(G18=0,0,(G18-H18)/G18)</x:f>
        <x:v>0.1</x:v>
      </x:c>
      <x:c r="L18" s="10" t="n">
        <x:v>1.1</x:v>
      </x:c>
      <x:c r="M18" s="10" t="n">
        <x:v>1.1</x:v>
      </x:c>
      <x:c r="N18" s="10" t="n">
        <x:v>0</x:v>
      </x:c>
      <x:c r="O18" s="7" t="n">
        <x:f>G18*L18*M18*N18</x:f>
        <x:v>0</x:v>
      </x:c>
      <x:c r="P18" s="7" t="n">
        <x:v>242000</x:v>
      </x:c>
      <x:c r="Q18" s="7" t="n">
        <x:v>6050</x:v>
      </x:c>
      <x:c r="R18" s="7" t="n">
        <x:v>0</x:v>
      </x:c>
      <x:c r="S18" s="7" t="n">
        <x:f>ROUND(O18-R18,6)</x:f>
        <x:v>0</x:v>
      </x:c>
    </x:row>
    <x:row r="19" ht="22" customHeight="1">
      <x:c r="A19" s="7" t="str">
        <x:v>QUARTER</x:v>
      </x:c>
      <x:c r="B19" s="7" t="str">
        <x:v>Q3</x:v>
      </x:c>
      <x:c r="C19" s="7" t="str">
        <x:v>P014</x:v>
      </x:c>
      <x:c r="D19" s="7" t="str">
        <x:v>D01</x:v>
      </x:c>
      <x:c r="E19" s="7" t="str">
        <x:v>G03</x:v>
      </x:c>
      <x:c r="F19" s="7" t="str">
        <x:v>华南</x:v>
      </x:c>
      <x:c r="G19" s="7" t="n">
        <x:v>693000</x:v>
      </x:c>
      <x:c r="H19" s="7" t="n">
        <x:v>589050</x:v>
      </x:c>
      <x:c r="I19" s="7" t="n">
        <x:v>124740</x:v>
      </x:c>
      <x:c r="J19" s="7" t="n">
        <x:f>G19-H19-I19</x:f>
        <x:v>-20790</x:v>
      </x:c>
      <x:c r="K19" s="10" t="n">
        <x:f>IF(G19=0,0,(G19-H19)/G19)</x:f>
        <x:v>0.15</x:v>
      </x:c>
      <x:c r="L19" s="10" t="n">
        <x:v>1</x:v>
      </x:c>
      <x:c r="M19" s="10" t="n">
        <x:v>0.95</x:v>
      </x:c>
      <x:c r="N19" s="10" t="n">
        <x:v>0.8</x:v>
      </x:c>
      <x:c r="O19" s="7" t="n">
        <x:f>G19*L19*M19*N19</x:f>
        <x:v>526680</x:v>
      </x:c>
      <x:c r="P19" s="7" t="n">
        <x:v>194040</x:v>
      </x:c>
      <x:c r="Q19" s="7" t="n">
        <x:v>15675</x:v>
      </x:c>
      <x:c r="R19" s="7" t="n">
        <x:v>526680</x:v>
      </x:c>
      <x:c r="S19" s="7" t="n">
        <x:f>ROUND(O19-R19,6)</x:f>
        <x:v>0</x:v>
      </x:c>
    </x:row>
    <x:row r="20" ht="22" customHeight="1">
      <x:c r="A20" s="7" t="str">
        <x:v>QUARTER</x:v>
      </x:c>
      <x:c r="B20" s="7" t="str">
        <x:v>Q3</x:v>
      </x:c>
      <x:c r="C20" s="7" t="str">
        <x:v>P015</x:v>
      </x:c>
      <x:c r="D20" s="7" t="str">
        <x:v>D01</x:v>
      </x:c>
      <x:c r="E20" s="7" t="str">
        <x:v>G03</x:v>
      </x:c>
      <x:c r="F20" s="7" t="str">
        <x:v>华北</x:v>
      </x:c>
      <x:c r="G20" s="7" t="n">
        <x:v>1210000</x:v>
      </x:c>
      <x:c r="H20" s="7" t="n">
        <x:v>968000</x:v>
      </x:c>
      <x:c r="I20" s="7" t="n">
        <x:v>121000</x:v>
      </x:c>
      <x:c r="J20" s="7" t="n">
        <x:f>G20-H20-I20</x:f>
        <x:v>121000</x:v>
      </x:c>
      <x:c r="K20" s="10" t="n">
        <x:f>IF(G20=0,0,(G20-H20)/G20)</x:f>
        <x:v>0.2</x:v>
      </x:c>
      <x:c r="L20" s="10" t="n">
        <x:v>0.9</x:v>
      </x:c>
      <x:c r="M20" s="10" t="n">
        <x:v>1.1</x:v>
      </x:c>
      <x:c r="N20" s="10" t="n">
        <x:v>0.8</x:v>
      </x:c>
      <x:c r="O20" s="7" t="n">
        <x:f>G20*L20*M20*N20</x:f>
        <x:v>958320</x:v>
      </x:c>
      <x:c r="P20" s="7" t="n">
        <x:v>484000</x:v>
      </x:c>
      <x:c r="Q20" s="7" t="n">
        <x:v>18562.5</x:v>
      </x:c>
      <x:c r="R20" s="7" t="n">
        <x:v>958320</x:v>
      </x:c>
      <x:c r="S20" s="7" t="n">
        <x:f>ROUND(O20-R20,6)</x:f>
        <x:v>0</x:v>
      </x:c>
    </x:row>
    <x:row r="21" ht="22" customHeight="1">
      <x:c r="A21" s="7" t="str">
        <x:v>QUARTER</x:v>
      </x:c>
      <x:c r="B21" s="7" t="str">
        <x:v>Q3</x:v>
      </x:c>
      <x:c r="C21" s="7" t="str">
        <x:v>P016</x:v>
      </x:c>
      <x:c r="D21" s="7" t="str">
        <x:v>D01</x:v>
      </x:c>
      <x:c r="E21" s="7" t="str">
        <x:v>G03</x:v>
      </x:c>
      <x:c r="F21" s="7" t="str">
        <x:v>西部</x:v>
      </x:c>
      <x:c r="G21" s="7" t="n">
        <x:v>1683000</x:v>
      </x:c>
      <x:c r="H21" s="7" t="n">
        <x:v>1262250</x:v>
      </x:c>
      <x:c r="I21" s="7" t="n">
        <x:v>100980</x:v>
      </x:c>
      <x:c r="J21" s="7" t="n">
        <x:f>G21-H21-I21</x:f>
        <x:v>319770</x:v>
      </x:c>
      <x:c r="K21" s="10" t="n">
        <x:f>IF(G21=0,0,(G21-H21)/G21)</x:f>
        <x:v>0.25</x:v>
      </x:c>
      <x:c r="L21" s="10" t="n">
        <x:v>1.2</x:v>
      </x:c>
      <x:c r="M21" s="10" t="n">
        <x:v>0.95</x:v>
      </x:c>
      <x:c r="N21" s="10" t="n">
        <x:v>1</x:v>
      </x:c>
      <x:c r="O21" s="7" t="n">
        <x:f>G21*L21*M21*N21</x:f>
        <x:v>1918620</x:v>
      </x:c>
      <x:c r="P21" s="7" t="n">
        <x:v>614295</x:v>
      </x:c>
      <x:c r="Q21" s="7" t="n">
        <x:v>5700</x:v>
      </x:c>
      <x:c r="R21" s="7" t="n">
        <x:v>1918620</x:v>
      </x:c>
      <x:c r="S21" s="7" t="n">
        <x:f>ROUND(O21-R21,6)</x:f>
        <x:v>0</x:v>
      </x:c>
    </x:row>
    <x:row r="22" ht="22" customHeight="1">
      <x:c r="A22" s="7" t="str">
        <x:v>QUARTER</x:v>
      </x:c>
      <x:c r="B22" s="7" t="str">
        <x:v>Q3</x:v>
      </x:c>
      <x:c r="C22" s="7" t="str">
        <x:v>P017</x:v>
      </x:c>
      <x:c r="D22" s="7" t="str">
        <x:v>D01</x:v>
      </x:c>
      <x:c r="E22" s="7" t="str">
        <x:v>G03</x:v>
      </x:c>
      <x:c r="F22" s="7" t="str">
        <x:v>华东</x:v>
      </x:c>
      <x:c r="G22" s="7" t="n">
        <x:v>913000</x:v>
      </x:c>
      <x:c r="H22" s="7" t="n">
        <x:v>639100</x:v>
      </x:c>
      <x:c r="I22" s="7" t="n">
        <x:v>164340</x:v>
      </x:c>
      <x:c r="J22" s="7" t="n">
        <x:f>G22-H22-I22</x:f>
        <x:v>109560</x:v>
      </x:c>
      <x:c r="K22" s="10" t="n">
        <x:f>IF(G22=0,0,(G22-H22)/G22)</x:f>
        <x:v>0.3</x:v>
      </x:c>
      <x:c r="L22" s="10" t="n">
        <x:v>1.1</x:v>
      </x:c>
      <x:c r="M22" s="10" t="n">
        <x:v>1.1</x:v>
      </x:c>
      <x:c r="N22" s="10" t="n">
        <x:v>1</x:v>
      </x:c>
      <x:c r="O22" s="7" t="n">
        <x:f>G22*L22*M22*N22</x:f>
        <x:v>1104730.0000000002</x:v>
      </x:c>
      <x:c r="P22" s="7" t="n">
        <x:v>401720</x:v>
      </x:c>
      <x:c r="Q22" s="7" t="n">
        <x:v>6655</x:v>
      </x:c>
      <x:c r="R22" s="7" t="n">
        <x:v>1104730</x:v>
      </x:c>
      <x:c r="S22" s="7" t="n">
        <x:f>ROUND(O22-R22,6)</x:f>
        <x:v>0</x:v>
      </x:c>
    </x:row>
    <x:row r="23" ht="22" customHeight="1">
      <x:c r="A23" s="7" t="str">
        <x:v>QUARTER</x:v>
      </x:c>
      <x:c r="B23" s="7" t="str">
        <x:v>Q3</x:v>
      </x:c>
      <x:c r="C23" s="7" t="str">
        <x:v>P018</x:v>
      </x:c>
      <x:c r="D23" s="7" t="str">
        <x:v>D01</x:v>
      </x:c>
      <x:c r="E23" s="7" t="str">
        <x:v>G03</x:v>
      </x:c>
      <x:c r="F23" s="7" t="str">
        <x:v>华南</x:v>
      </x:c>
      <x:c r="G23" s="7" t="n">
        <x:v>1364000</x:v>
      </x:c>
      <x:c r="H23" s="7" t="n">
        <x:v>886600</x:v>
      </x:c>
      <x:c r="I23" s="7" t="n">
        <x:v>136400</x:v>
      </x:c>
      <x:c r="J23" s="7" t="n">
        <x:f>G23-H23-I23</x:f>
        <x:v>341000</x:v>
      </x:c>
      <x:c r="K23" s="10" t="n">
        <x:f>IF(G23=0,0,(G23-H23)/G23)</x:f>
        <x:v>0.35</x:v>
      </x:c>
      <x:c r="L23" s="10" t="n">
        <x:v>1</x:v>
      </x:c>
      <x:c r="M23" s="10" t="n">
        <x:v>0.95</x:v>
      </x:c>
      <x:c r="N23" s="10" t="n">
        <x:v>1.2</x:v>
      </x:c>
      <x:c r="O23" s="7" t="n">
        <x:f>G23*L23*M23*N23</x:f>
        <x:v>1554960</x:v>
      </x:c>
      <x:c r="P23" s="7" t="n">
        <x:v>381920</x:v>
      </x:c>
      <x:c r="Q23" s="7" t="n">
        <x:v>17812.5</x:v>
      </x:c>
      <x:c r="R23" s="7" t="n">
        <x:v>1554960</x:v>
      </x:c>
      <x:c r="S23" s="7" t="n">
        <x:f>ROUND(O23-R23,6)</x:f>
        <x:v>0</x:v>
      </x:c>
    </x:row>
    <x:row r="24" ht="22" customHeight="1">
      <x:c r="A24" s="7" t="str">
        <x:v>QUARTER</x:v>
      </x:c>
      <x:c r="B24" s="7" t="str">
        <x:v>Q3</x:v>
      </x:c>
      <x:c r="C24" s="7" t="str">
        <x:v>P019</x:v>
      </x:c>
      <x:c r="D24" s="7" t="str">
        <x:v>D02</x:v>
      </x:c>
      <x:c r="E24" s="7" t="str">
        <x:v>G04</x:v>
      </x:c>
      <x:c r="F24" s="7" t="str">
        <x:v>华北</x:v>
      </x:c>
      <x:c r="G24" s="7" t="n">
        <x:v>1474000</x:v>
      </x:c>
      <x:c r="H24" s="7" t="n">
        <x:v>1326600</x:v>
      </x:c>
      <x:c r="I24" s="7" t="n">
        <x:v>88440</x:v>
      </x:c>
      <x:c r="J24" s="7" t="n">
        <x:f>G24-H24-I24</x:f>
        <x:v>58960</x:v>
      </x:c>
      <x:c r="K24" s="10" t="n">
        <x:f>IF(G24=0,0,(G24-H24)/G24)</x:f>
        <x:v>0.1</x:v>
      </x:c>
      <x:c r="L24" s="10" t="n">
        <x:v>0.9</x:v>
      </x:c>
      <x:c r="M24" s="10" t="n">
        <x:v>1.1</x:v>
      </x:c>
      <x:c r="N24" s="10" t="n">
        <x:v>0</x:v>
      </x:c>
      <x:c r="O24" s="7" t="n">
        <x:f>G24*L24*M24*N24</x:f>
        <x:v>0</x:v>
      </x:c>
      <x:c r="P24" s="7" t="n">
        <x:v>589600</x:v>
      </x:c>
      <x:c r="Q24" s="7" t="n">
        <x:v>14850</x:v>
      </x:c>
      <x:c r="R24" s="7" t="n">
        <x:v>0</x:v>
      </x:c>
      <x:c r="S24" s="7" t="n">
        <x:f>ROUND(O24-R24,6)</x:f>
        <x:v>0</x:v>
      </x:c>
    </x:row>
    <x:row r="25" ht="22" customHeight="1">
      <x:c r="A25" s="7" t="str">
        <x:v>QUARTER</x:v>
      </x:c>
      <x:c r="B25" s="7" t="str">
        <x:v>Q3</x:v>
      </x:c>
      <x:c r="C25" s="7" t="str">
        <x:v>P020</x:v>
      </x:c>
      <x:c r="D25" s="7" t="str">
        <x:v>D02</x:v>
      </x:c>
      <x:c r="E25" s="7" t="str">
        <x:v>G04</x:v>
      </x:c>
      <x:c r="F25" s="7" t="str">
        <x:v>西部</x:v>
      </x:c>
      <x:c r="G25" s="7" t="n">
        <x:v>1265000</x:v>
      </x:c>
      <x:c r="H25" s="7" t="n">
        <x:v>1075250</x:v>
      </x:c>
      <x:c r="I25" s="7" t="n">
        <x:v>227700</x:v>
      </x:c>
      <x:c r="J25" s="7" t="n">
        <x:f>G25-H25-I25</x:f>
        <x:v>-37950</x:v>
      </x:c>
      <x:c r="K25" s="10" t="n">
        <x:f>IF(G25=0,0,(G25-H25)/G25)</x:f>
        <x:v>0.15</x:v>
      </x:c>
      <x:c r="L25" s="10" t="n">
        <x:v>1.2</x:v>
      </x:c>
      <x:c r="M25" s="10" t="n">
        <x:v>0.95</x:v>
      </x:c>
      <x:c r="N25" s="10" t="n">
        <x:v>0.8</x:v>
      </x:c>
      <x:c r="O25" s="7" t="n">
        <x:f>G25*L25*M25*N25</x:f>
        <x:v>1153680</x:v>
      </x:c>
      <x:c r="P25" s="7" t="n">
        <x:v>461725</x:v>
      </x:c>
      <x:c r="Q25" s="7" t="n">
        <x:v>18810</x:v>
      </x:c>
      <x:c r="R25" s="7" t="n">
        <x:v>1153680</x:v>
      </x:c>
      <x:c r="S25" s="7" t="n">
        <x:f>ROUND(O25-R25,6)</x:f>
        <x:v>0</x:v>
      </x:c>
    </x:row>
    <x:row r="26" ht="22" customHeight="1">
      <x:c r="A26" s="7" t="str">
        <x:v>QUARTER</x:v>
      </x:c>
      <x:c r="B26" s="7" t="str">
        <x:v>Q3</x:v>
      </x:c>
      <x:c r="C26" s="7" t="str">
        <x:v>P021</x:v>
      </x:c>
      <x:c r="D26" s="7" t="str">
        <x:v>D02</x:v>
      </x:c>
      <x:c r="E26" s="7" t="str">
        <x:v>G04</x:v>
      </x:c>
      <x:c r="F26" s="7" t="str">
        <x:v>华东</x:v>
      </x:c>
      <x:c r="G26" s="7" t="n">
        <x:v>1397000</x:v>
      </x:c>
      <x:c r="H26" s="7" t="n">
        <x:v>1117600</x:v>
      </x:c>
      <x:c r="I26" s="7" t="n">
        <x:v>139700</x:v>
      </x:c>
      <x:c r="J26" s="7" t="n">
        <x:f>G26-H26-I26</x:f>
        <x:v>139700</x:v>
      </x:c>
      <x:c r="K26" s="10" t="n">
        <x:f>IF(G26=0,0,(G26-H26)/G26)</x:f>
        <x:v>0.2</x:v>
      </x:c>
      <x:c r="L26" s="10" t="n">
        <x:v>1.1</x:v>
      </x:c>
      <x:c r="M26" s="10" t="n">
        <x:v>1.1</x:v>
      </x:c>
      <x:c r="N26" s="10" t="n">
        <x:v>0.8</x:v>
      </x:c>
      <x:c r="O26" s="7" t="n">
        <x:f>G26*L26*M26*N26</x:f>
        <x:v>1352296.0000000005</x:v>
      </x:c>
      <x:c r="P26" s="7" t="n">
        <x:v>614680</x:v>
      </x:c>
      <x:c r="Q26" s="7" t="n">
        <x:v>7562.5</x:v>
      </x:c>
      <x:c r="R26" s="7" t="n">
        <x:v>1352296</x:v>
      </x:c>
      <x:c r="S26" s="7" t="n">
        <x:f>ROUND(O26-R26,6)</x:f>
        <x:v>0</x:v>
      </x:c>
    </x:row>
    <x:row r="27" ht="22" customHeight="1">
      <x:c r="A27" s="7" t="str">
        <x:v>QUARTER</x:v>
      </x:c>
      <x:c r="B27" s="7" t="str">
        <x:v>Q3</x:v>
      </x:c>
      <x:c r="C27" s="7" t="str">
        <x:v>P022</x:v>
      </x:c>
      <x:c r="D27" s="7" t="str">
        <x:v>D02</x:v>
      </x:c>
      <x:c r="E27" s="7" t="str">
        <x:v>G04</x:v>
      </x:c>
      <x:c r="F27" s="7" t="str">
        <x:v>华南</x:v>
      </x:c>
      <x:c r="G27" s="7" t="n">
        <x:v>1166000</x:v>
      </x:c>
      <x:c r="H27" s="7" t="n">
        <x:v>874500</x:v>
      </x:c>
      <x:c r="I27" s="7" t="n">
        <x:v>69960</x:v>
      </x:c>
      <x:c r="J27" s="7" t="n">
        <x:f>G27-H27-I27</x:f>
        <x:v>221540</x:v>
      </x:c>
      <x:c r="K27" s="10" t="n">
        <x:f>IF(G27=0,0,(G27-H27)/G27)</x:f>
        <x:v>0.25</x:v>
      </x:c>
      <x:c r="L27" s="10" t="n">
        <x:v>1</x:v>
      </x:c>
      <x:c r="M27" s="10" t="n">
        <x:v>0.95</x:v>
      </x:c>
      <x:c r="N27" s="10" t="n">
        <x:v>1</x:v>
      </x:c>
      <x:c r="O27" s="7" t="n">
        <x:f>G27*L27*M27*N27</x:f>
        <x:v>1107700</x:v>
      </x:c>
      <x:c r="P27" s="7" t="n">
        <x:v>326480</x:v>
      </x:c>
      <x:c r="Q27" s="7" t="n">
        <x:v>14250</x:v>
      </x:c>
      <x:c r="R27" s="7" t="n">
        <x:v>1107700</x:v>
      </x:c>
      <x:c r="S27" s="7" t="n">
        <x:f>ROUND(O27-R27,6)</x:f>
        <x:v>0</x:v>
      </x:c>
    </x:row>
    <x:row r="28" ht="22" customHeight="1">
      <x:c r="A28" s="7" t="str">
        <x:v>QUARTER</x:v>
      </x:c>
      <x:c r="B28" s="7" t="str">
        <x:v>Q3</x:v>
      </x:c>
      <x:c r="C28" s="7" t="str">
        <x:v>P023</x:v>
      </x:c>
      <x:c r="D28" s="7" t="str">
        <x:v>D02</x:v>
      </x:c>
      <x:c r="E28" s="7" t="str">
        <x:v>G04</x:v>
      </x:c>
      <x:c r="F28" s="7" t="str">
        <x:v>华北</x:v>
      </x:c>
      <x:c r="G28" s="7" t="n">
        <x:v>1067000</x:v>
      </x:c>
      <x:c r="H28" s="7" t="n">
        <x:v>746900</x:v>
      </x:c>
      <x:c r="I28" s="7" t="n">
        <x:v>192060</x:v>
      </x:c>
      <x:c r="J28" s="7" t="n">
        <x:f>G28-H28-I28</x:f>
        <x:v>128040</x:v>
      </x:c>
      <x:c r="K28" s="10" t="n">
        <x:f>IF(G28=0,0,(G28-H28)/G28)</x:f>
        <x:v>0.3</x:v>
      </x:c>
      <x:c r="L28" s="10" t="n">
        <x:v>0.9</x:v>
      </x:c>
      <x:c r="M28" s="10" t="n">
        <x:v>1.1</x:v>
      </x:c>
      <x:c r="N28" s="10" t="n">
        <x:v>1</x:v>
      </x:c>
      <x:c r="O28" s="7" t="n">
        <x:f>G28*L28*M28*N28</x:f>
        <x:v>1056330</x:v>
      </x:c>
      <x:c r="P28" s="7" t="n">
        <x:v>426800</x:v>
      </x:c>
      <x:c r="Q28" s="7" t="n">
        <x:v>16335</x:v>
      </x:c>
      <x:c r="R28" s="7" t="n">
        <x:v>1056330</x:v>
      </x:c>
      <x:c r="S28" s="7" t="n">
        <x:f>ROUND(O28-R28,6)</x:f>
        <x:v>0</x:v>
      </x:c>
    </x:row>
    <x:row r="29" ht="22" customHeight="1">
      <x:c r="A29" s="7" t="str">
        <x:v>QUARTER</x:v>
      </x:c>
      <x:c r="B29" s="7" t="str">
        <x:v>Q3</x:v>
      </x:c>
      <x:c r="C29" s="7" t="str">
        <x:v>P024</x:v>
      </x:c>
      <x:c r="D29" s="7" t="str">
        <x:v>D02</x:v>
      </x:c>
      <x:c r="E29" s="7" t="str">
        <x:v>G04</x:v>
      </x:c>
      <x:c r="F29" s="7" t="str">
        <x:v>西部</x:v>
      </x:c>
      <x:c r="G29" s="7" t="n">
        <x:v>1089000</x:v>
      </x:c>
      <x:c r="H29" s="7" t="n">
        <x:v>707850</x:v>
      </x:c>
      <x:c r="I29" s="7" t="n">
        <x:v>108900</x:v>
      </x:c>
      <x:c r="J29" s="7" t="n">
        <x:f>G29-H29-I29</x:f>
        <x:v>272250</x:v>
      </x:c>
      <x:c r="K29" s="10" t="n">
        <x:f>IF(G29=0,0,(G29-H29)/G29)</x:f>
        <x:v>0.35</x:v>
      </x:c>
      <x:c r="L29" s="10" t="n">
        <x:v>1.2</x:v>
      </x:c>
      <x:c r="M29" s="10" t="n">
        <x:v>0.95</x:v>
      </x:c>
      <x:c r="N29" s="10" t="n">
        <x:v>1.2</x:v>
      </x:c>
      <x:c r="O29" s="7" t="n">
        <x:f>G29*L29*M29*N29</x:f>
        <x:v>1489752</x:v>
      </x:c>
      <x:c r="P29" s="7" t="n">
        <x:v>397485</x:v>
      </x:c>
      <x:c r="Q29" s="7" t="n">
        <x:v>21375</x:v>
      </x:c>
      <x:c r="R29" s="7" t="n">
        <x:v>1489752</x:v>
      </x:c>
      <x:c r="S29" s="7" t="n">
        <x:f>ROUND(O29-R29,6)</x:f>
        <x:v>0</x:v>
      </x:c>
    </x:row>
    <x:row r="30" ht="22" customHeight="1">
      <x:c r="A30" s="7" t="str">
        <x:v>QUARTER</x:v>
      </x:c>
      <x:c r="B30" s="7" t="str">
        <x:v>Q3</x:v>
      </x:c>
      <x:c r="C30" s="7" t="str">
        <x:v>P025</x:v>
      </x:c>
      <x:c r="D30" s="7" t="str">
        <x:v>D02</x:v>
      </x:c>
      <x:c r="E30" s="7" t="str">
        <x:v>G05</x:v>
      </x:c>
      <x:c r="F30" s="7" t="str">
        <x:v>华东</x:v>
      </x:c>
      <x:c r="G30" s="7" t="n">
        <x:v>715000</x:v>
      </x:c>
      <x:c r="H30" s="7" t="n">
        <x:v>643500</x:v>
      </x:c>
      <x:c r="I30" s="7" t="n">
        <x:v>42900</x:v>
      </x:c>
      <x:c r="J30" s="7" t="n">
        <x:f>G30-H30-I30</x:f>
        <x:v>28600</x:v>
      </x:c>
      <x:c r="K30" s="10" t="n">
        <x:f>IF(G30=0,0,(G30-H30)/G30)</x:f>
        <x:v>0.1</x:v>
      </x:c>
      <x:c r="L30" s="10" t="n">
        <x:v>1.1</x:v>
      </x:c>
      <x:c r="M30" s="10" t="n">
        <x:v>1.1</x:v>
      </x:c>
      <x:c r="N30" s="10" t="n">
        <x:v>0</x:v>
      </x:c>
      <x:c r="O30" s="7" t="n">
        <x:f>G30*L30*M30*N30</x:f>
        <x:v>0</x:v>
      </x:c>
      <x:c r="P30" s="7" t="n">
        <x:v>314600</x:v>
      </x:c>
      <x:c r="Q30" s="7" t="n">
        <x:v>6050</x:v>
      </x:c>
      <x:c r="R30" s="7" t="n">
        <x:v>0</x:v>
      </x:c>
      <x:c r="S30" s="7" t="n">
        <x:f>ROUND(O30-R30,6)</x:f>
        <x:v>0</x:v>
      </x:c>
    </x:row>
    <x:row r="31" ht="22" customHeight="1">
      <x:c r="A31" s="7" t="str">
        <x:v>QUARTER</x:v>
      </x:c>
      <x:c r="B31" s="7" t="str">
        <x:v>Q3</x:v>
      </x:c>
      <x:c r="C31" s="7" t="str">
        <x:v>P026</x:v>
      </x:c>
      <x:c r="D31" s="7" t="str">
        <x:v>D02</x:v>
      </x:c>
      <x:c r="E31" s="7" t="str">
        <x:v>G05</x:v>
      </x:c>
      <x:c r="F31" s="7" t="str">
        <x:v>华南</x:v>
      </x:c>
      <x:c r="G31" s="7" t="n">
        <x:v>440000</x:v>
      </x:c>
      <x:c r="H31" s="7" t="n">
        <x:v>374000</x:v>
      </x:c>
      <x:c r="I31" s="7" t="n">
        <x:v>79200</x:v>
      </x:c>
      <x:c r="J31" s="7" t="n">
        <x:f>G31-H31-I31</x:f>
        <x:v>-13200</x:v>
      </x:c>
      <x:c r="K31" s="10" t="n">
        <x:f>IF(G31=0,0,(G31-H31)/G31)</x:f>
        <x:v>0.15</x:v>
      </x:c>
      <x:c r="L31" s="10" t="n">
        <x:v>1</x:v>
      </x:c>
      <x:c r="M31" s="10" t="n">
        <x:v>0.95</x:v>
      </x:c>
      <x:c r="N31" s="10" t="n">
        <x:v>0.8</x:v>
      </x:c>
      <x:c r="O31" s="7" t="n">
        <x:f>G31*L31*M31*N31</x:f>
        <x:v>334400</x:v>
      </x:c>
      <x:c r="P31" s="7" t="n">
        <x:v>123200</x:v>
      </x:c>
      <x:c r="Q31" s="7" t="n">
        <x:v>5225</x:v>
      </x:c>
      <x:c r="R31" s="7" t="n">
        <x:v>334400</x:v>
      </x:c>
      <x:c r="S31" s="7" t="n">
        <x:f>ROUND(O31-R31,6)</x:f>
        <x:v>0</x:v>
      </x:c>
    </x:row>
    <x:row r="32" ht="22" customHeight="1">
      <x:c r="A32" s="7" t="str">
        <x:v>QUARTER</x:v>
      </x:c>
      <x:c r="B32" s="7" t="str">
        <x:v>Q3</x:v>
      </x:c>
      <x:c r="C32" s="7" t="str">
        <x:v>P027</x:v>
      </x:c>
      <x:c r="D32" s="7" t="str">
        <x:v>D02</x:v>
      </x:c>
      <x:c r="E32" s="7" t="str">
        <x:v>G05</x:v>
      </x:c>
      <x:c r="F32" s="7" t="str">
        <x:v>华北</x:v>
      </x:c>
      <x:c r="G32" s="7" t="n">
        <x:v>1331000</x:v>
      </x:c>
      <x:c r="H32" s="7" t="n">
        <x:v>1064800</x:v>
      </x:c>
      <x:c r="I32" s="7" t="n">
        <x:v>133100</x:v>
      </x:c>
      <x:c r="J32" s="7" t="n">
        <x:f>G32-H32-I32</x:f>
        <x:v>133100</x:v>
      </x:c>
      <x:c r="K32" s="10" t="n">
        <x:f>IF(G32=0,0,(G32-H32)/G32)</x:f>
        <x:v>0.2</x:v>
      </x:c>
      <x:c r="L32" s="10" t="n">
        <x:v>0.9</x:v>
      </x:c>
      <x:c r="M32" s="10" t="n">
        <x:v>1.1</x:v>
      </x:c>
      <x:c r="N32" s="10" t="n">
        <x:v>0.8</x:v>
      </x:c>
      <x:c r="O32" s="7" t="n">
        <x:f>G32*L32*M32*N32</x:f>
        <x:v>1054152</x:v>
      </x:c>
      <x:c r="P32" s="7" t="n">
        <x:v>532400</x:v>
      </x:c>
      <x:c r="Q32" s="7" t="n">
        <x:v>18562.5</x:v>
      </x:c>
      <x:c r="R32" s="7" t="n">
        <x:v>1054152</x:v>
      </x:c>
      <x:c r="S32" s="7" t="n">
        <x:f>ROUND(O32-R32,6)</x:f>
        <x:v>0</x:v>
      </x:c>
    </x:row>
    <x:row r="33" ht="22" customHeight="1">
      <x:c r="A33" s="7" t="str">
        <x:v>QUARTER</x:v>
      </x:c>
      <x:c r="B33" s="7" t="str">
        <x:v>Q3</x:v>
      </x:c>
      <x:c r="C33" s="7" t="str">
        <x:v>P028</x:v>
      </x:c>
      <x:c r="D33" s="7" t="str">
        <x:v>D02</x:v>
      </x:c>
      <x:c r="E33" s="7" t="str">
        <x:v>G05</x:v>
      </x:c>
      <x:c r="F33" s="7" t="str">
        <x:v>西部</x:v>
      </x:c>
      <x:c r="G33" s="7" t="n">
        <x:v>660000</x:v>
      </x:c>
      <x:c r="H33" s="7" t="n">
        <x:v>495000</x:v>
      </x:c>
      <x:c r="I33" s="7" t="n">
        <x:v>39600</x:v>
      </x:c>
      <x:c r="J33" s="7" t="n">
        <x:f>G33-H33-I33</x:f>
        <x:v>125400</x:v>
      </x:c>
      <x:c r="K33" s="10" t="n">
        <x:f>IF(G33=0,0,(G33-H33)/G33)</x:f>
        <x:v>0.25</x:v>
      </x:c>
      <x:c r="L33" s="10" t="n">
        <x:v>1.2</x:v>
      </x:c>
      <x:c r="M33" s="10" t="n">
        <x:v>0.95</x:v>
      </x:c>
      <x:c r="N33" s="10" t="n">
        <x:v>1</x:v>
      </x:c>
      <x:c r="O33" s="7" t="n">
        <x:f>G33*L33*M33*N33</x:f>
        <x:v>752400</x:v>
      </x:c>
      <x:c r="P33" s="7" t="n">
        <x:v>240900</x:v>
      </x:c>
      <x:c r="Q33" s="7" t="n">
        <x:v>17100</x:v>
      </x:c>
      <x:c r="R33" s="7" t="n">
        <x:v>752400</x:v>
      </x:c>
      <x:c r="S33" s="7" t="n">
        <x:f>ROUND(O33-R33,6)</x:f>
        <x:v>0</x:v>
      </x:c>
    </x:row>
    <x:row r="34" ht="22" customHeight="1">
      <x:c r="A34" s="7" t="str">
        <x:v>QUARTER</x:v>
      </x:c>
      <x:c r="B34" s="7" t="str">
        <x:v>Q3</x:v>
      </x:c>
      <x:c r="C34" s="7" t="str">
        <x:v>P029</x:v>
      </x:c>
      <x:c r="D34" s="7" t="str">
        <x:v>D02</x:v>
      </x:c>
      <x:c r="E34" s="7" t="str">
        <x:v>G05</x:v>
      </x:c>
      <x:c r="F34" s="7" t="str">
        <x:v>华东</x:v>
      </x:c>
      <x:c r="G34" s="7" t="n">
        <x:v>451000</x:v>
      </x:c>
      <x:c r="H34" s="7" t="n">
        <x:v>315700</x:v>
      </x:c>
      <x:c r="I34" s="7" t="n">
        <x:v>81180</x:v>
      </x:c>
      <x:c r="J34" s="7" t="n">
        <x:f>G34-H34-I34</x:f>
        <x:v>54120</x:v>
      </x:c>
      <x:c r="K34" s="10" t="n">
        <x:f>IF(G34=0,0,(G34-H34)/G34)</x:f>
        <x:v>0.3</x:v>
      </x:c>
      <x:c r="L34" s="10" t="n">
        <x:v>1.1</x:v>
      </x:c>
      <x:c r="M34" s="10" t="n">
        <x:v>1.1</x:v>
      </x:c>
      <x:c r="N34" s="10" t="n">
        <x:v>1</x:v>
      </x:c>
      <x:c r="O34" s="7" t="n">
        <x:f>G34*L34*M34*N34</x:f>
        <x:v>545710.0000000001</x:v>
      </x:c>
      <x:c r="P34" s="7" t="n">
        <x:v>198440</x:v>
      </x:c>
      <x:c r="Q34" s="7" t="n">
        <x:v>6655</x:v>
      </x:c>
      <x:c r="R34" s="7" t="n">
        <x:v>545710</x:v>
      </x:c>
      <x:c r="S34" s="7" t="n">
        <x:f>ROUND(O34-R34,6)</x:f>
        <x:v>0</x:v>
      </x:c>
    </x:row>
    <x:row r="35" ht="22" customHeight="1">
      <x:c r="A35" s="7" t="str">
        <x:v>QUARTER</x:v>
      </x:c>
      <x:c r="B35" s="7" t="str">
        <x:v>Q3</x:v>
      </x:c>
      <x:c r="C35" s="7" t="str">
        <x:v>P030</x:v>
      </x:c>
      <x:c r="D35" s="7" t="str">
        <x:v>D02</x:v>
      </x:c>
      <x:c r="E35" s="7" t="str">
        <x:v>G05</x:v>
      </x:c>
      <x:c r="F35" s="7" t="str">
        <x:v>华南</x:v>
      </x:c>
      <x:c r="G35" s="7" t="n">
        <x:v>935000</x:v>
      </x:c>
      <x:c r="H35" s="7" t="n">
        <x:v>607750</x:v>
      </x:c>
      <x:c r="I35" s="7" t="n">
        <x:v>93500</x:v>
      </x:c>
      <x:c r="J35" s="7" t="n">
        <x:f>G35-H35-I35</x:f>
        <x:v>233750</x:v>
      </x:c>
      <x:c r="K35" s="10" t="n">
        <x:f>IF(G35=0,0,(G35-H35)/G35)</x:f>
        <x:v>0.35</x:v>
      </x:c>
      <x:c r="L35" s="10" t="n">
        <x:v>1</x:v>
      </x:c>
      <x:c r="M35" s="10" t="n">
        <x:v>0.95</x:v>
      </x:c>
      <x:c r="N35" s="10" t="n">
        <x:v>1.2</x:v>
      </x:c>
      <x:c r="O35" s="7" t="n">
        <x:f>G35*L35*M35*N35</x:f>
        <x:v>1065900</x:v>
      </x:c>
      <x:c r="P35" s="7" t="n">
        <x:v>261800</x:v>
      </x:c>
      <x:c r="Q35" s="7" t="n">
        <x:v>17812.5</x:v>
      </x:c>
      <x:c r="R35" s="7" t="n">
        <x:v>1065900</x:v>
      </x:c>
      <x:c r="S35" s="7" t="n">
        <x:f>ROUND(O35-R35,6)</x:f>
        <x:v>0</x:v>
      </x:c>
    </x:row>
    <x:row r="36" ht="22" customHeight="1">
      <x:c r="A36" s="7" t="str">
        <x:v>QUARTER</x:v>
      </x:c>
      <x:c r="B36" s="7" t="str">
        <x:v>Q3</x:v>
      </x:c>
      <x:c r="C36" s="7" t="str">
        <x:v>P031</x:v>
      </x:c>
      <x:c r="D36" s="7" t="str">
        <x:v>D02</x:v>
      </x:c>
      <x:c r="E36" s="7" t="str">
        <x:v>G06</x:v>
      </x:c>
      <x:c r="F36" s="7" t="str">
        <x:v>华北</x:v>
      </x:c>
      <x:c r="G36" s="7" t="n">
        <x:v>1122000</x:v>
      </x:c>
      <x:c r="H36" s="7" t="n">
        <x:v>1009800</x:v>
      </x:c>
      <x:c r="I36" s="7" t="n">
        <x:v>67320</x:v>
      </x:c>
      <x:c r="J36" s="7" t="n">
        <x:f>G36-H36-I36</x:f>
        <x:v>44880</x:v>
      </x:c>
      <x:c r="K36" s="10" t="n">
        <x:f>IF(G36=0,0,(G36-H36)/G36)</x:f>
        <x:v>0.1</x:v>
      </x:c>
      <x:c r="L36" s="10" t="n">
        <x:v>0.9</x:v>
      </x:c>
      <x:c r="M36" s="10" t="n">
        <x:v>1.1</x:v>
      </x:c>
      <x:c r="N36" s="10" t="n">
        <x:v>0</x:v>
      </x:c>
      <x:c r="O36" s="7" t="n">
        <x:f>G36*L36*M36*N36</x:f>
        <x:v>0</x:v>
      </x:c>
      <x:c r="P36" s="7" t="n">
        <x:v>0</x:v>
      </x:c>
      <x:c r="Q36" s="7" t="n">
        <x:v>4950</x:v>
      </x:c>
      <x:c r="R36" s="7" t="n">
        <x:v>0</x:v>
      </x:c>
      <x:c r="S36" s="7" t="n">
        <x:f>ROUND(O36-R36,6)</x:f>
        <x:v>0</x:v>
      </x:c>
    </x:row>
    <x:row r="37" ht="22" customHeight="1">
      <x:c r="A37" s="7" t="str">
        <x:v>QUARTER</x:v>
      </x:c>
      <x:c r="B37" s="7" t="str">
        <x:v>Q3</x:v>
      </x:c>
      <x:c r="C37" s="7" t="str">
        <x:v>P032</x:v>
      </x:c>
      <x:c r="D37" s="7" t="str">
        <x:v>D02</x:v>
      </x:c>
      <x:c r="E37" s="7" t="str">
        <x:v>G06</x:v>
      </x:c>
      <x:c r="F37" s="7" t="str">
        <x:v>西部</x:v>
      </x:c>
      <x:c r="G37" s="7" t="n">
        <x:v>1430000</x:v>
      </x:c>
      <x:c r="H37" s="7" t="n">
        <x:v>1215500</x:v>
      </x:c>
      <x:c r="I37" s="7" t="n">
        <x:v>257400</x:v>
      </x:c>
      <x:c r="J37" s="7" t="n">
        <x:f>G37-H37-I37</x:f>
        <x:v>-42900</x:v>
      </x:c>
      <x:c r="K37" s="10" t="n">
        <x:f>IF(G37=0,0,(G37-H37)/G37)</x:f>
        <x:v>0.15</x:v>
      </x:c>
      <x:c r="L37" s="10" t="n">
        <x:v>1.2</x:v>
      </x:c>
      <x:c r="M37" s="10" t="n">
        <x:v>0.95</x:v>
      </x:c>
      <x:c r="N37" s="10" t="n">
        <x:v>0.8</x:v>
      </x:c>
      <x:c r="O37" s="7" t="n">
        <x:f>G37*L37*M37*N37</x:f>
        <x:v>1304160</x:v>
      </x:c>
      <x:c r="P37" s="7" t="n">
        <x:v>0</x:v>
      </x:c>
      <x:c r="Q37" s="7" t="n">
        <x:v>18810</x:v>
      </x:c>
      <x:c r="R37" s="7" t="n">
        <x:v>1304160</x:v>
      </x:c>
      <x:c r="S37" s="7" t="n">
        <x:f>ROUND(O37-R37,6)</x:f>
        <x:v>0</x:v>
      </x:c>
    </x:row>
    <x:row r="38" ht="22" customHeight="1">
      <x:c r="A38" s="7" t="str">
        <x:v>QUARTER</x:v>
      </x:c>
      <x:c r="B38" s="7" t="str">
        <x:v>Q3</x:v>
      </x:c>
      <x:c r="C38" s="7" t="str">
        <x:v>P033</x:v>
      </x:c>
      <x:c r="D38" s="7" t="str">
        <x:v>D02</x:v>
      </x:c>
      <x:c r="E38" s="7" t="str">
        <x:v>G06</x:v>
      </x:c>
      <x:c r="F38" s="7" t="str">
        <x:v>华东</x:v>
      </x:c>
      <x:c r="G38" s="7" t="n">
        <x:v>1551000</x:v>
      </x:c>
      <x:c r="H38" s="7" t="n">
        <x:v>1240800</x:v>
      </x:c>
      <x:c r="I38" s="7" t="n">
        <x:v>155100</x:v>
      </x:c>
      <x:c r="J38" s="7" t="n">
        <x:f>G38-H38-I38</x:f>
        <x:v>155100</x:v>
      </x:c>
      <x:c r="K38" s="10" t="n">
        <x:f>IF(G38=0,0,(G38-H38)/G38)</x:f>
        <x:v>0.2</x:v>
      </x:c>
      <x:c r="L38" s="10" t="n">
        <x:v>1.1</x:v>
      </x:c>
      <x:c r="M38" s="10" t="n">
        <x:v>1.1</x:v>
      </x:c>
      <x:c r="N38" s="10" t="n">
        <x:v>0.8</x:v>
      </x:c>
      <x:c r="O38" s="7" t="n">
        <x:f>G38*L38*M38*N38</x:f>
        <x:v>1501368.0000000005</x:v>
      </x:c>
      <x:c r="P38" s="7" t="n">
        <x:v>0</x:v>
      </x:c>
      <x:c r="Q38" s="7" t="n">
        <x:v>7562.5</x:v>
      </x:c>
      <x:c r="R38" s="7" t="n">
        <x:v>1501368</x:v>
      </x:c>
      <x:c r="S38" s="7" t="n">
        <x:f>ROUND(O38-R38,6)</x:f>
        <x:v>0</x:v>
      </x:c>
    </x:row>
    <x:row r="39" ht="22" customHeight="1">
      <x:c r="A39" s="7" t="str">
        <x:v>QUARTER</x:v>
      </x:c>
      <x:c r="B39" s="7" t="str">
        <x:v>Q3</x:v>
      </x:c>
      <x:c r="C39" s="7" t="str">
        <x:v>P034</x:v>
      </x:c>
      <x:c r="D39" s="7" t="str">
        <x:v>D02</x:v>
      </x:c>
      <x:c r="E39" s="7" t="str">
        <x:v>G06</x:v>
      </x:c>
      <x:c r="F39" s="7" t="str">
        <x:v>华南</x:v>
      </x:c>
      <x:c r="G39" s="7" t="n">
        <x:v>1067000</x:v>
      </x:c>
      <x:c r="H39" s="7" t="n">
        <x:v>800250</x:v>
      </x:c>
      <x:c r="I39" s="7" t="n">
        <x:v>64020</x:v>
      </x:c>
      <x:c r="J39" s="7" t="n">
        <x:f>G39-H39-I39</x:f>
        <x:v>202730</x:v>
      </x:c>
      <x:c r="K39" s="10" t="n">
        <x:f>IF(G39=0,0,(G39-H39)/G39)</x:f>
        <x:v>0.25</x:v>
      </x:c>
      <x:c r="L39" s="10" t="n">
        <x:v>1</x:v>
      </x:c>
      <x:c r="M39" s="10" t="n">
        <x:v>0.95</x:v>
      </x:c>
      <x:c r="N39" s="10" t="n">
        <x:v>1</x:v>
      </x:c>
      <x:c r="O39" s="7" t="n">
        <x:f>G39*L39*M39*N39</x:f>
        <x:v>1013650</x:v>
      </x:c>
      <x:c r="P39" s="7" t="n">
        <x:v>0</x:v>
      </x:c>
      <x:c r="Q39" s="7" t="n">
        <x:v>14250</x:v>
      </x:c>
      <x:c r="R39" s="7" t="n">
        <x:v>1013650</x:v>
      </x:c>
      <x:c r="S39" s="7" t="n">
        <x:f>ROUND(O39-R39,6)</x:f>
        <x:v>0</x:v>
      </x:c>
    </x:row>
    <x:row r="40" ht="22" customHeight="1">
      <x:c r="A40" s="7" t="str">
        <x:v>QUARTER</x:v>
      </x:c>
      <x:c r="B40" s="7" t="str">
        <x:v>Q3</x:v>
      </x:c>
      <x:c r="C40" s="7" t="str">
        <x:v>P035</x:v>
      </x:c>
      <x:c r="D40" s="7" t="str">
        <x:v>D02</x:v>
      </x:c>
      <x:c r="E40" s="7" t="str">
        <x:v>G06</x:v>
      </x:c>
      <x:c r="F40" s="7" t="str">
        <x:v>华北</x:v>
      </x:c>
      <x:c r="G40" s="7" t="n">
        <x:v>682000</x:v>
      </x:c>
      <x:c r="H40" s="7" t="n">
        <x:v>477400</x:v>
      </x:c>
      <x:c r="I40" s="7" t="n">
        <x:v>122760</x:v>
      </x:c>
      <x:c r="J40" s="7" t="n">
        <x:f>G40-H40-I40</x:f>
        <x:v>81840</x:v>
      </x:c>
      <x:c r="K40" s="10" t="n">
        <x:f>IF(G40=0,0,(G40-H40)/G40)</x:f>
        <x:v>0.3</x:v>
      </x:c>
      <x:c r="L40" s="10" t="n">
        <x:v>0.9</x:v>
      </x:c>
      <x:c r="M40" s="10" t="n">
        <x:v>1.1</x:v>
      </x:c>
      <x:c r="N40" s="10" t="n">
        <x:v>1</x:v>
      </x:c>
      <x:c r="O40" s="7" t="n">
        <x:f>G40*L40*M40*N40</x:f>
        <x:v>675180</x:v>
      </x:c>
      <x:c r="P40" s="7" t="n">
        <x:v>0</x:v>
      </x:c>
      <x:c r="Q40" s="7" t="n">
        <x:v>16335</x:v>
      </x:c>
      <x:c r="R40" s="7" t="n">
        <x:v>675180</x:v>
      </x:c>
      <x:c r="S40" s="7" t="n">
        <x:f>ROUND(O40-R40,6)</x:f>
        <x:v>0</x:v>
      </x:c>
    </x:row>
    <x:row r="41" ht="22" customHeight="1">
      <x:c r="A41" s="7" t="str">
        <x:v>QUARTER</x:v>
      </x:c>
      <x:c r="B41" s="7" t="str">
        <x:v>Q3</x:v>
      </x:c>
      <x:c r="C41" s="7" t="str">
        <x:v>P036</x:v>
      </x:c>
      <x:c r="D41" s="7" t="str">
        <x:v>D02</x:v>
      </x:c>
      <x:c r="E41" s="7" t="str">
        <x:v>G06</x:v>
      </x:c>
      <x:c r="F41" s="7" t="str">
        <x:v>西部</x:v>
      </x:c>
      <x:c r="G41" s="7" t="n">
        <x:v>1474000</x:v>
      </x:c>
      <x:c r="H41" s="7" t="n">
        <x:v>958100</x:v>
      </x:c>
      <x:c r="I41" s="7" t="n">
        <x:v>147400</x:v>
      </x:c>
      <x:c r="J41" s="7" t="n">
        <x:f>G41-H41-I41</x:f>
        <x:v>368500</x:v>
      </x:c>
      <x:c r="K41" s="10" t="n">
        <x:f>IF(G41=0,0,(G41-H41)/G41)</x:f>
        <x:v>0.35</x:v>
      </x:c>
      <x:c r="L41" s="10" t="n">
        <x:v>1.2</x:v>
      </x:c>
      <x:c r="M41" s="10" t="n">
        <x:v>0.95</x:v>
      </x:c>
      <x:c r="N41" s="10" t="n">
        <x:v>1.2</x:v>
      </x:c>
      <x:c r="O41" s="7" t="n">
        <x:f>G41*L41*M41*N41</x:f>
        <x:v>2016432</x:v>
      </x:c>
      <x:c r="P41" s="7" t="n">
        <x:v>0</x:v>
      </x:c>
      <x:c r="Q41" s="7" t="n">
        <x:v>7125</x:v>
      </x:c>
      <x:c r="R41" s="7" t="n">
        <x:v>2016432</x:v>
      </x:c>
      <x:c r="S41" s="7" t="n">
        <x:f>ROUND(O41-R41,6)</x:f>
        <x:v>0</x:v>
      </x:c>
    </x:row>
    <x:row r="42" ht="22" customHeight="1">
      <x:c r="A42" s="7" t="str">
        <x:v>PROCESS</x:v>
      </x:c>
      <x:c r="B42" s="7" t="str">
        <x:v>Q3</x:v>
      </x:c>
      <x:c r="C42" s="7" t="str">
        <x:v>P001</x:v>
      </x:c>
      <x:c r="D42" s="7" t="str">
        <x:v>D01</x:v>
      </x:c>
      <x:c r="E42" s="7" t="str">
        <x:v>G01</x:v>
      </x:c>
      <x:c r="F42" s="7" t="str">
        <x:v>华东</x:v>
      </x:c>
      <x:c r="G42" s="7" t="n">
        <x:v>1584000</x:v>
      </x:c>
      <x:c r="H42" s="7" t="n">
        <x:v>1425600</x:v>
      </x:c>
      <x:c r="I42" s="7" t="n">
        <x:v>95040</x:v>
      </x:c>
      <x:c r="J42" s="7" t="n">
        <x:f>G42-H42-I42</x:f>
        <x:v>63360</x:v>
      </x:c>
      <x:c r="K42" s="10" t="n">
        <x:f>IF(G42=0,0,(G42-H42)/G42)</x:f>
        <x:v>0.1</x:v>
      </x:c>
      <x:c r="L42" s="10" t="n">
        <x:v>1.1</x:v>
      </x:c>
      <x:c r="M42" s="10" t="n">
        <x:v>1.1</x:v>
      </x:c>
      <x:c r="N42" s="10" t="n">
        <x:v>0</x:v>
      </x:c>
      <x:c r="O42" s="7" t="n">
        <x:f>G42*L42*M42*N42</x:f>
        <x:v>0</x:v>
      </x:c>
      <x:c r="P42" s="7" t="n">
        <x:v>696960</x:v>
      </x:c>
      <x:c r="Q42" s="7" t="n">
        <x:v>6050</x:v>
      </x:c>
      <x:c r="R42" s="7" t="n">
        <x:v>0</x:v>
      </x:c>
      <x:c r="S42" s="7" t="n">
        <x:f>ROUND(O42-R42,6)</x:f>
        <x:v>0</x:v>
      </x:c>
    </x:row>
    <x:row r="43" ht="22" customHeight="1">
      <x:c r="A43" s="7" t="str">
        <x:v>PROCESS</x:v>
      </x:c>
      <x:c r="B43" s="7" t="str">
        <x:v>Q3</x:v>
      </x:c>
      <x:c r="C43" s="7" t="str">
        <x:v>P002</x:v>
      </x:c>
      <x:c r="D43" s="7" t="str">
        <x:v>D01</x:v>
      </x:c>
      <x:c r="E43" s="7" t="str">
        <x:v>G01</x:v>
      </x:c>
      <x:c r="F43" s="7" t="str">
        <x:v>华南</x:v>
      </x:c>
      <x:c r="G43" s="7" t="n">
        <x:v>1067000</x:v>
      </x:c>
      <x:c r="H43" s="7" t="n">
        <x:v>906950</x:v>
      </x:c>
      <x:c r="I43" s="7" t="n">
        <x:v>192060</x:v>
      </x:c>
      <x:c r="J43" s="7" t="n">
        <x:f>G43-H43-I43</x:f>
        <x:v>-32010</x:v>
      </x:c>
      <x:c r="K43" s="10" t="n">
        <x:f>IF(G43=0,0,(G43-H43)/G43)</x:f>
        <x:v>0.15</x:v>
      </x:c>
      <x:c r="L43" s="10" t="n">
        <x:v>1</x:v>
      </x:c>
      <x:c r="M43" s="10" t="n">
        <x:v>0.95</x:v>
      </x:c>
      <x:c r="N43" s="10" t="n">
        <x:v>0.8</x:v>
      </x:c>
      <x:c r="O43" s="7" t="n">
        <x:f>G43*L43*M43*N43</x:f>
        <x:v>810920</x:v>
      </x:c>
      <x:c r="P43" s="7" t="n">
        <x:v>298760</x:v>
      </x:c>
      <x:c r="Q43" s="7" t="n">
        <x:v>15675</x:v>
      </x:c>
      <x:c r="R43" s="7" t="n">
        <x:v>810920</x:v>
      </x:c>
      <x:c r="S43" s="7" t="n">
        <x:f>ROUND(O43-R43,6)</x:f>
        <x:v>0</x:v>
      </x:c>
    </x:row>
    <x:row r="44" ht="22" customHeight="1">
      <x:c r="A44" s="7" t="str">
        <x:v>PROCESS</x:v>
      </x:c>
      <x:c r="B44" s="7" t="str">
        <x:v>Q3</x:v>
      </x:c>
      <x:c r="C44" s="7" t="str">
        <x:v>P003</x:v>
      </x:c>
      <x:c r="D44" s="7" t="str">
        <x:v>D01</x:v>
      </x:c>
      <x:c r="E44" s="7" t="str">
        <x:v>G01</x:v>
      </x:c>
      <x:c r="F44" s="7" t="str">
        <x:v>华北</x:v>
      </x:c>
      <x:c r="G44" s="7" t="n">
        <x:v>1661000</x:v>
      </x:c>
      <x:c r="H44" s="7" t="n">
        <x:v>1328800</x:v>
      </x:c>
      <x:c r="I44" s="7" t="n">
        <x:v>166100</x:v>
      </x:c>
      <x:c r="J44" s="7" t="n">
        <x:f>G44-H44-I44</x:f>
        <x:v>166100</x:v>
      </x:c>
      <x:c r="K44" s="10" t="n">
        <x:f>IF(G44=0,0,(G44-H44)/G44)</x:f>
        <x:v>0.2</x:v>
      </x:c>
      <x:c r="L44" s="10" t="n">
        <x:v>0.9</x:v>
      </x:c>
      <x:c r="M44" s="10" t="n">
        <x:v>1.1</x:v>
      </x:c>
      <x:c r="N44" s="10" t="n">
        <x:v>0.8</x:v>
      </x:c>
      <x:c r="O44" s="7" t="n">
        <x:f>G44*L44*M44*N44</x:f>
        <x:v>1315512.0000000002</x:v>
      </x:c>
      <x:c r="P44" s="7" t="n">
        <x:v>664400</x:v>
      </x:c>
      <x:c r="Q44" s="7" t="n">
        <x:v>18562.5</x:v>
      </x:c>
      <x:c r="R44" s="7" t="n">
        <x:v>1315512</x:v>
      </x:c>
      <x:c r="S44" s="7" t="n">
        <x:f>ROUND(O44-R44,6)</x:f>
        <x:v>0</x:v>
      </x:c>
    </x:row>
    <x:row r="45" ht="22" customHeight="1">
      <x:c r="A45" s="7" t="str">
        <x:v>PROCESS</x:v>
      </x:c>
      <x:c r="B45" s="7" t="str">
        <x:v>Q3</x:v>
      </x:c>
      <x:c r="C45" s="7" t="str">
        <x:v>P004</x:v>
      </x:c>
      <x:c r="D45" s="7" t="str">
        <x:v>D01</x:v>
      </x:c>
      <x:c r="E45" s="7" t="str">
        <x:v>G01</x:v>
      </x:c>
      <x:c r="F45" s="7" t="str">
        <x:v>西部</x:v>
      </x:c>
      <x:c r="G45" s="7" t="n">
        <x:v>1254000</x:v>
      </x:c>
      <x:c r="H45" s="7" t="n">
        <x:v>940500</x:v>
      </x:c>
      <x:c r="I45" s="7" t="n">
        <x:v>75240</x:v>
      </x:c>
      <x:c r="J45" s="7" t="n">
        <x:f>G45-H45-I45</x:f>
        <x:v>238260</x:v>
      </x:c>
      <x:c r="K45" s="10" t="n">
        <x:f>IF(G45=0,0,(G45-H45)/G45)</x:f>
        <x:v>0.25</x:v>
      </x:c>
      <x:c r="L45" s="10" t="n">
        <x:v>1.2</x:v>
      </x:c>
      <x:c r="M45" s="10" t="n">
        <x:v>0.95</x:v>
      </x:c>
      <x:c r="N45" s="10" t="n">
        <x:v>1</x:v>
      </x:c>
      <x:c r="O45" s="7" t="n">
        <x:f>G45*L45*M45*N45</x:f>
        <x:v>1429560</x:v>
      </x:c>
      <x:c r="P45" s="7" t="n">
        <x:v>457710</x:v>
      </x:c>
      <x:c r="Q45" s="7" t="n">
        <x:v>17100</x:v>
      </x:c>
      <x:c r="R45" s="7" t="n">
        <x:v>1429560</x:v>
      </x:c>
      <x:c r="S45" s="7" t="n">
        <x:f>ROUND(O45-R45,6)</x:f>
        <x:v>0</x:v>
      </x:c>
    </x:row>
    <x:row r="46" ht="22" customHeight="1">
      <x:c r="A46" s="7" t="str">
        <x:v>PROCESS</x:v>
      </x:c>
      <x:c r="B46" s="7" t="str">
        <x:v>Q3</x:v>
      </x:c>
      <x:c r="C46" s="7" t="str">
        <x:v>P005</x:v>
      </x:c>
      <x:c r="D46" s="7" t="str">
        <x:v>D01</x:v>
      </x:c>
      <x:c r="E46" s="7" t="str">
        <x:v>G01</x:v>
      </x:c>
      <x:c r="F46" s="7" t="str">
        <x:v>华东</x:v>
      </x:c>
      <x:c r="G46" s="7" t="n">
        <x:v>858000</x:v>
      </x:c>
      <x:c r="H46" s="7" t="n">
        <x:v>600600</x:v>
      </x:c>
      <x:c r="I46" s="7" t="n">
        <x:v>154440</x:v>
      </x:c>
      <x:c r="J46" s="7" t="n">
        <x:f>G46-H46-I46</x:f>
        <x:v>102960</x:v>
      </x:c>
      <x:c r="K46" s="10" t="n">
        <x:f>IF(G46=0,0,(G46-H46)/G46)</x:f>
        <x:v>0.3</x:v>
      </x:c>
      <x:c r="L46" s="10" t="n">
        <x:v>1.1</x:v>
      </x:c>
      <x:c r="M46" s="10" t="n">
        <x:v>1.1</x:v>
      </x:c>
      <x:c r="N46" s="10" t="n">
        <x:v>1</x:v>
      </x:c>
      <x:c r="O46" s="7" t="n">
        <x:f>G46*L46*M46*N46</x:f>
        <x:v>1038180.0000000002</x:v>
      </x:c>
      <x:c r="P46" s="7" t="n">
        <x:v>377520</x:v>
      </x:c>
      <x:c r="Q46" s="7" t="n">
        <x:v>6655</x:v>
      </x:c>
      <x:c r="R46" s="7" t="n">
        <x:v>1038180</x:v>
      </x:c>
      <x:c r="S46" s="7" t="n">
        <x:f>ROUND(O46-R46,6)</x:f>
        <x:v>0</x:v>
      </x:c>
    </x:row>
    <x:row r="47" ht="22" customHeight="1">
      <x:c r="A47" s="7" t="str">
        <x:v>PROCESS</x:v>
      </x:c>
      <x:c r="B47" s="7" t="str">
        <x:v>Q3</x:v>
      </x:c>
      <x:c r="C47" s="7" t="str">
        <x:v>P006</x:v>
      </x:c>
      <x:c r="D47" s="7" t="str">
        <x:v>D01</x:v>
      </x:c>
      <x:c r="E47" s="7" t="str">
        <x:v>G01</x:v>
      </x:c>
      <x:c r="F47" s="7" t="str">
        <x:v>华南</x:v>
      </x:c>
      <x:c r="G47" s="7" t="n">
        <x:v>1199000</x:v>
      </x:c>
      <x:c r="H47" s="7" t="n">
        <x:v>779350</x:v>
      </x:c>
      <x:c r="I47" s="7" t="n">
        <x:v>119900</x:v>
      </x:c>
      <x:c r="J47" s="7" t="n">
        <x:f>G47-H47-I47</x:f>
        <x:v>299750</x:v>
      </x:c>
      <x:c r="K47" s="10" t="n">
        <x:f>IF(G47=0,0,(G47-H47)/G47)</x:f>
        <x:v>0.35</x:v>
      </x:c>
      <x:c r="L47" s="10" t="n">
        <x:v>1</x:v>
      </x:c>
      <x:c r="M47" s="10" t="n">
        <x:v>0.95</x:v>
      </x:c>
      <x:c r="N47" s="10" t="n">
        <x:v>1.2</x:v>
      </x:c>
      <x:c r="O47" s="7" t="n">
        <x:f>G47*L47*M47*N47</x:f>
        <x:v>1366860</x:v>
      </x:c>
      <x:c r="P47" s="7" t="n">
        <x:v>335720</x:v>
      </x:c>
      <x:c r="Q47" s="7" t="n">
        <x:v>5937.5</x:v>
      </x:c>
      <x:c r="R47" s="7" t="n">
        <x:v>1366860</x:v>
      </x:c>
      <x:c r="S47" s="7" t="n">
        <x:f>ROUND(O47-R47,6)</x:f>
        <x:v>0</x:v>
      </x:c>
    </x:row>
    <x:row r="48" ht="22" customHeight="1">
      <x:c r="A48" s="7" t="str">
        <x:v>PROCESS</x:v>
      </x:c>
      <x:c r="B48" s="7" t="str">
        <x:v>Q3</x:v>
      </x:c>
      <x:c r="C48" s="7" t="str">
        <x:v>P007</x:v>
      </x:c>
      <x:c r="D48" s="7" t="str">
        <x:v>D01</x:v>
      </x:c>
      <x:c r="E48" s="7" t="str">
        <x:v>G02</x:v>
      </x:c>
      <x:c r="F48" s="7" t="str">
        <x:v>华北</x:v>
      </x:c>
      <x:c r="G48" s="7" t="n">
        <x:v>1331000</x:v>
      </x:c>
      <x:c r="H48" s="7" t="n">
        <x:v>1197900</x:v>
      </x:c>
      <x:c r="I48" s="7" t="n">
        <x:v>79860</x:v>
      </x:c>
      <x:c r="J48" s="7" t="n">
        <x:f>G48-H48-I48</x:f>
        <x:v>53240</x:v>
      </x:c>
      <x:c r="K48" s="10" t="n">
        <x:f>IF(G48=0,0,(G48-H48)/G48)</x:f>
        <x:v>0.1</x:v>
      </x:c>
      <x:c r="L48" s="10" t="n">
        <x:v>0.9</x:v>
      </x:c>
      <x:c r="M48" s="10" t="n">
        <x:v>1.1</x:v>
      </x:c>
      <x:c r="N48" s="10" t="n">
        <x:v>0</x:v>
      </x:c>
      <x:c r="O48" s="7" t="n">
        <x:f>G48*L48*M48*N48</x:f>
        <x:v>0</x:v>
      </x:c>
      <x:c r="P48" s="7" t="n">
        <x:v>532400</x:v>
      </x:c>
      <x:c r="Q48" s="7" t="n">
        <x:v>14850</x:v>
      </x:c>
      <x:c r="R48" s="7" t="n">
        <x:v>0</x:v>
      </x:c>
      <x:c r="S48" s="7" t="n">
        <x:f>ROUND(O48-R48,6)</x:f>
        <x:v>0</x:v>
      </x:c>
    </x:row>
    <x:row r="49" ht="22" customHeight="1">
      <x:c r="A49" s="7" t="str">
        <x:v>PROCESS</x:v>
      </x:c>
      <x:c r="B49" s="7" t="str">
        <x:v>Q3</x:v>
      </x:c>
      <x:c r="C49" s="7" t="str">
        <x:v>P008</x:v>
      </x:c>
      <x:c r="D49" s="7" t="str">
        <x:v>D01</x:v>
      </x:c>
      <x:c r="E49" s="7" t="str">
        <x:v>G02</x:v>
      </x:c>
      <x:c r="F49" s="7" t="str">
        <x:v>西部</x:v>
      </x:c>
      <x:c r="G49" s="7" t="n">
        <x:v>1672000</x:v>
      </x:c>
      <x:c r="H49" s="7" t="n">
        <x:v>1421200</x:v>
      </x:c>
      <x:c r="I49" s="7" t="n">
        <x:v>300960</x:v>
      </x:c>
      <x:c r="J49" s="7" t="n">
        <x:f>G49-H49-I49</x:f>
        <x:v>-50160</x:v>
      </x:c>
      <x:c r="K49" s="10" t="n">
        <x:f>IF(G49=0,0,(G49-H49)/G49)</x:f>
        <x:v>0.15</x:v>
      </x:c>
      <x:c r="L49" s="10" t="n">
        <x:v>1.2</x:v>
      </x:c>
      <x:c r="M49" s="10" t="n">
        <x:v>0.95</x:v>
      </x:c>
      <x:c r="N49" s="10" t="n">
        <x:v>0.8</x:v>
      </x:c>
      <x:c r="O49" s="7" t="n">
        <x:f>G49*L49*M49*N49</x:f>
        <x:v>1524864</x:v>
      </x:c>
      <x:c r="P49" s="7" t="n">
        <x:v>610280</x:v>
      </x:c>
      <x:c r="Q49" s="7" t="n">
        <x:v>18810</x:v>
      </x:c>
      <x:c r="R49" s="7" t="n">
        <x:v>1524864</x:v>
      </x:c>
      <x:c r="S49" s="7" t="n">
        <x:f>ROUND(O49-R49,6)</x:f>
        <x:v>0</x:v>
      </x:c>
    </x:row>
    <x:row r="50" ht="22" customHeight="1">
      <x:c r="A50" s="7" t="str">
        <x:v>PROCESS</x:v>
      </x:c>
      <x:c r="B50" s="7" t="str">
        <x:v>Q3</x:v>
      </x:c>
      <x:c r="C50" s="7" t="str">
        <x:v>P009</x:v>
      </x:c>
      <x:c r="D50" s="7" t="str">
        <x:v>D01</x:v>
      </x:c>
      <x:c r="E50" s="7" t="str">
        <x:v>G02</x:v>
      </x:c>
      <x:c r="F50" s="7" t="str">
        <x:v>华东</x:v>
      </x:c>
      <x:c r="G50" s="7" t="n">
        <x:v>704000</x:v>
      </x:c>
      <x:c r="H50" s="7" t="n">
        <x:v>563200</x:v>
      </x:c>
      <x:c r="I50" s="7" t="n">
        <x:v>70400</x:v>
      </x:c>
      <x:c r="J50" s="7" t="n">
        <x:f>G50-H50-I50</x:f>
        <x:v>70400</x:v>
      </x:c>
      <x:c r="K50" s="10" t="n">
        <x:f>IF(G50=0,0,(G50-H50)/G50)</x:f>
        <x:v>0.2</x:v>
      </x:c>
      <x:c r="L50" s="10" t="n">
        <x:v>1.1</x:v>
      </x:c>
      <x:c r="M50" s="10" t="n">
        <x:v>1.1</x:v>
      </x:c>
      <x:c r="N50" s="10" t="n">
        <x:v>0.8</x:v>
      </x:c>
      <x:c r="O50" s="7" t="n">
        <x:f>G50*L50*M50*N50</x:f>
        <x:v>681472.0000000002</x:v>
      </x:c>
      <x:c r="P50" s="7" t="n">
        <x:v>309760</x:v>
      </x:c>
      <x:c r="Q50" s="7" t="n">
        <x:v>7562.5</x:v>
      </x:c>
      <x:c r="R50" s="7" t="n">
        <x:v>681472</x:v>
      </x:c>
      <x:c r="S50" s="7" t="n">
        <x:f>ROUND(O50-R50,6)</x:f>
        <x:v>0</x:v>
      </x:c>
    </x:row>
    <x:row r="51" ht="22" customHeight="1">
      <x:c r="A51" s="7" t="str">
        <x:v>PROCESS</x:v>
      </x:c>
      <x:c r="B51" s="7" t="str">
        <x:v>Q3</x:v>
      </x:c>
      <x:c r="C51" s="7" t="str">
        <x:v>P010</x:v>
      </x:c>
      <x:c r="D51" s="7" t="str">
        <x:v>D01</x:v>
      </x:c>
      <x:c r="E51" s="7" t="str">
        <x:v>G02</x:v>
      </x:c>
      <x:c r="F51" s="7" t="str">
        <x:v>华南</x:v>
      </x:c>
      <x:c r="G51" s="7" t="n">
        <x:v>1760000</x:v>
      </x:c>
      <x:c r="H51" s="7" t="n">
        <x:v>1320000</x:v>
      </x:c>
      <x:c r="I51" s="7" t="n">
        <x:v>105600</x:v>
      </x:c>
      <x:c r="J51" s="7" t="n">
        <x:f>G51-H51-I51</x:f>
        <x:v>334400</x:v>
      </x:c>
      <x:c r="K51" s="10" t="n">
        <x:f>IF(G51=0,0,(G51-H51)/G51)</x:f>
        <x:v>0.25</x:v>
      </x:c>
      <x:c r="L51" s="10" t="n">
        <x:v>1</x:v>
      </x:c>
      <x:c r="M51" s="10" t="n">
        <x:v>0.95</x:v>
      </x:c>
      <x:c r="N51" s="10" t="n">
        <x:v>1</x:v>
      </x:c>
      <x:c r="O51" s="7" t="n">
        <x:f>G51*L51*M51*N51</x:f>
        <x:v>1672000</x:v>
      </x:c>
      <x:c r="P51" s="7" t="n">
        <x:v>492800</x:v>
      </x:c>
      <x:c r="Q51" s="7" t="n">
        <x:v>14250</x:v>
      </x:c>
      <x:c r="R51" s="7" t="n">
        <x:v>1672000</x:v>
      </x:c>
      <x:c r="S51" s="7" t="n">
        <x:f>ROUND(O51-R51,6)</x:f>
        <x:v>0</x:v>
      </x:c>
    </x:row>
    <x:row r="52" ht="22" customHeight="1">
      <x:c r="A52" s="7" t="str">
        <x:v>PROCESS</x:v>
      </x:c>
      <x:c r="B52" s="7" t="str">
        <x:v>Q3</x:v>
      </x:c>
      <x:c r="C52" s="7" t="str">
        <x:v>P011</x:v>
      </x:c>
      <x:c r="D52" s="7" t="str">
        <x:v>D01</x:v>
      </x:c>
      <x:c r="E52" s="7" t="str">
        <x:v>G02</x:v>
      </x:c>
      <x:c r="F52" s="7" t="str">
        <x:v>华北</x:v>
      </x:c>
      <x:c r="G52" s="7" t="n">
        <x:v>1397000</x:v>
      </x:c>
      <x:c r="H52" s="7" t="n">
        <x:v>977900</x:v>
      </x:c>
      <x:c r="I52" s="7" t="n">
        <x:v>251460</x:v>
      </x:c>
      <x:c r="J52" s="7" t="n">
        <x:f>G52-H52-I52</x:f>
        <x:v>167640</x:v>
      </x:c>
      <x:c r="K52" s="10" t="n">
        <x:f>IF(G52=0,0,(G52-H52)/G52)</x:f>
        <x:v>0.3</x:v>
      </x:c>
      <x:c r="L52" s="10" t="n">
        <x:v>0.9</x:v>
      </x:c>
      <x:c r="M52" s="10" t="n">
        <x:v>1.1</x:v>
      </x:c>
      <x:c r="N52" s="10" t="n">
        <x:v>1</x:v>
      </x:c>
      <x:c r="O52" s="7" t="n">
        <x:f>G52*L52*M52*N52</x:f>
        <x:v>1383030</x:v>
      </x:c>
      <x:c r="P52" s="7" t="n">
        <x:v>558800</x:v>
      </x:c>
      <x:c r="Q52" s="7" t="n">
        <x:v>5445</x:v>
      </x:c>
      <x:c r="R52" s="7" t="n">
        <x:v>1383030</x:v>
      </x:c>
      <x:c r="S52" s="7" t="n">
        <x:f>ROUND(O52-R52,6)</x:f>
        <x:v>0</x:v>
      </x:c>
    </x:row>
    <x:row r="53" ht="22" customHeight="1">
      <x:c r="A53" s="7" t="str">
        <x:v>PROCESS</x:v>
      </x:c>
      <x:c r="B53" s="7" t="str">
        <x:v>Q3</x:v>
      </x:c>
      <x:c r="C53" s="7" t="str">
        <x:v>P012</x:v>
      </x:c>
      <x:c r="D53" s="7" t="str">
        <x:v>D01</x:v>
      </x:c>
      <x:c r="E53" s="7" t="str">
        <x:v>G02</x:v>
      </x:c>
      <x:c r="F53" s="7" t="str">
        <x:v>西部</x:v>
      </x:c>
      <x:c r="G53" s="7" t="n">
        <x:v>759000</x:v>
      </x:c>
      <x:c r="H53" s="7" t="n">
        <x:v>493350</x:v>
      </x:c>
      <x:c r="I53" s="7" t="n">
        <x:v>75900</x:v>
      </x:c>
      <x:c r="J53" s="7" t="n">
        <x:f>G53-H53-I53</x:f>
        <x:v>189750</x:v>
      </x:c>
      <x:c r="K53" s="10" t="n">
        <x:f>IF(G53=0,0,(G53-H53)/G53)</x:f>
        <x:v>0.35</x:v>
      </x:c>
      <x:c r="L53" s="10" t="n">
        <x:v>1.2</x:v>
      </x:c>
      <x:c r="M53" s="10" t="n">
        <x:v>0.95</x:v>
      </x:c>
      <x:c r="N53" s="10" t="n">
        <x:v>1.2</x:v>
      </x:c>
      <x:c r="O53" s="7" t="n">
        <x:f>G53*L53*M53*N53</x:f>
        <x:v>1038312</x:v>
      </x:c>
      <x:c r="P53" s="7" t="n">
        <x:v>277035</x:v>
      </x:c>
      <x:c r="Q53" s="7" t="n">
        <x:v>21375</x:v>
      </x:c>
      <x:c r="R53" s="7" t="n">
        <x:v>1038312</x:v>
      </x:c>
      <x:c r="S53" s="7" t="n">
        <x:f>ROUND(O53-R53,6)</x:f>
        <x:v>0</x:v>
      </x:c>
    </x:row>
    <x:row r="54" ht="22" customHeight="1">
      <x:c r="A54" s="7" t="str">
        <x:v>PROCESS</x:v>
      </x:c>
      <x:c r="B54" s="7" t="str">
        <x:v>Q3</x:v>
      </x:c>
      <x:c r="C54" s="7" t="str">
        <x:v>P013</x:v>
      </x:c>
      <x:c r="D54" s="7" t="str">
        <x:v>D01</x:v>
      </x:c>
      <x:c r="E54" s="7" t="str">
        <x:v>G03</x:v>
      </x:c>
      <x:c r="F54" s="7" t="str">
        <x:v>华东</x:v>
      </x:c>
      <x:c r="G54" s="7" t="n">
        <x:v>550000</x:v>
      </x:c>
      <x:c r="H54" s="7" t="n">
        <x:v>495000</x:v>
      </x:c>
      <x:c r="I54" s="7" t="n">
        <x:v>33000</x:v>
      </x:c>
      <x:c r="J54" s="7" t="n">
        <x:f>G54-H54-I54</x:f>
        <x:v>22000</x:v>
      </x:c>
      <x:c r="K54" s="10" t="n">
        <x:f>IF(G54=0,0,(G54-H54)/G54)</x:f>
        <x:v>0.1</x:v>
      </x:c>
      <x:c r="L54" s="10" t="n">
        <x:v>1.1</x:v>
      </x:c>
      <x:c r="M54" s="10" t="n">
        <x:v>1.1</x:v>
      </x:c>
      <x:c r="N54" s="10" t="n">
        <x:v>0</x:v>
      </x:c>
      <x:c r="O54" s="7" t="n">
        <x:f>G54*L54*M54*N54</x:f>
        <x:v>0</x:v>
      </x:c>
      <x:c r="P54" s="7" t="n">
        <x:v>242000</x:v>
      </x:c>
      <x:c r="Q54" s="7" t="n">
        <x:v>6050</x:v>
      </x:c>
      <x:c r="R54" s="7" t="n">
        <x:v>0</x:v>
      </x:c>
      <x:c r="S54" s="7" t="n">
        <x:f>ROUND(O54-R54,6)</x:f>
        <x:v>0</x:v>
      </x:c>
    </x:row>
    <x:row r="55" ht="22" customHeight="1">
      <x:c r="A55" s="7" t="str">
        <x:v>PROCESS</x:v>
      </x:c>
      <x:c r="B55" s="7" t="str">
        <x:v>Q3</x:v>
      </x:c>
      <x:c r="C55" s="7" t="str">
        <x:v>P014</x:v>
      </x:c>
      <x:c r="D55" s="7" t="str">
        <x:v>D01</x:v>
      </x:c>
      <x:c r="E55" s="7" t="str">
        <x:v>G03</x:v>
      </x:c>
      <x:c r="F55" s="7" t="str">
        <x:v>华南</x:v>
      </x:c>
      <x:c r="G55" s="7" t="n">
        <x:v>693000</x:v>
      </x:c>
      <x:c r="H55" s="7" t="n">
        <x:v>589050</x:v>
      </x:c>
      <x:c r="I55" s="7" t="n">
        <x:v>124740</x:v>
      </x:c>
      <x:c r="J55" s="7" t="n">
        <x:f>G55-H55-I55</x:f>
        <x:v>-20790</x:v>
      </x:c>
      <x:c r="K55" s="10" t="n">
        <x:f>IF(G55=0,0,(G55-H55)/G55)</x:f>
        <x:v>0.15</x:v>
      </x:c>
      <x:c r="L55" s="10" t="n">
        <x:v>1</x:v>
      </x:c>
      <x:c r="M55" s="10" t="n">
        <x:v>0.95</x:v>
      </x:c>
      <x:c r="N55" s="10" t="n">
        <x:v>0.8</x:v>
      </x:c>
      <x:c r="O55" s="7" t="n">
        <x:f>G55*L55*M55*N55</x:f>
        <x:v>526680</x:v>
      </x:c>
      <x:c r="P55" s="7" t="n">
        <x:v>194040</x:v>
      </x:c>
      <x:c r="Q55" s="7" t="n">
        <x:v>15675</x:v>
      </x:c>
      <x:c r="R55" s="7" t="n">
        <x:v>526680</x:v>
      </x:c>
      <x:c r="S55" s="7" t="n">
        <x:f>ROUND(O55-R55,6)</x:f>
        <x:v>0</x:v>
      </x:c>
    </x:row>
    <x:row r="56" ht="22" customHeight="1">
      <x:c r="A56" s="7" t="str">
        <x:v>PROCESS</x:v>
      </x:c>
      <x:c r="B56" s="7" t="str">
        <x:v>Q3</x:v>
      </x:c>
      <x:c r="C56" s="7" t="str">
        <x:v>P015</x:v>
      </x:c>
      <x:c r="D56" s="7" t="str">
        <x:v>D01</x:v>
      </x:c>
      <x:c r="E56" s="7" t="str">
        <x:v>G03</x:v>
      </x:c>
      <x:c r="F56" s="7" t="str">
        <x:v>华北</x:v>
      </x:c>
      <x:c r="G56" s="7" t="n">
        <x:v>1210000</x:v>
      </x:c>
      <x:c r="H56" s="7" t="n">
        <x:v>968000</x:v>
      </x:c>
      <x:c r="I56" s="7" t="n">
        <x:v>121000</x:v>
      </x:c>
      <x:c r="J56" s="7" t="n">
        <x:f>G56-H56-I56</x:f>
        <x:v>121000</x:v>
      </x:c>
      <x:c r="K56" s="10" t="n">
        <x:f>IF(G56=0,0,(G56-H56)/G56)</x:f>
        <x:v>0.2</x:v>
      </x:c>
      <x:c r="L56" s="10" t="n">
        <x:v>0.9</x:v>
      </x:c>
      <x:c r="M56" s="10" t="n">
        <x:v>1.1</x:v>
      </x:c>
      <x:c r="N56" s="10" t="n">
        <x:v>0.8</x:v>
      </x:c>
      <x:c r="O56" s="7" t="n">
        <x:f>G56*L56*M56*N56</x:f>
        <x:v>958320</x:v>
      </x:c>
      <x:c r="P56" s="7" t="n">
        <x:v>484000</x:v>
      </x:c>
      <x:c r="Q56" s="7" t="n">
        <x:v>18562.5</x:v>
      </x:c>
      <x:c r="R56" s="7" t="n">
        <x:v>958320</x:v>
      </x:c>
      <x:c r="S56" s="7" t="n">
        <x:f>ROUND(O56-R56,6)</x:f>
        <x:v>0</x:v>
      </x:c>
    </x:row>
    <x:row r="57" ht="22" customHeight="1">
      <x:c r="A57" s="7" t="str">
        <x:v>PROCESS</x:v>
      </x:c>
      <x:c r="B57" s="7" t="str">
        <x:v>Q3</x:v>
      </x:c>
      <x:c r="C57" s="7" t="str">
        <x:v>P016</x:v>
      </x:c>
      <x:c r="D57" s="7" t="str">
        <x:v>D01</x:v>
      </x:c>
      <x:c r="E57" s="7" t="str">
        <x:v>G03</x:v>
      </x:c>
      <x:c r="F57" s="7" t="str">
        <x:v>西部</x:v>
      </x:c>
      <x:c r="G57" s="7" t="n">
        <x:v>1683000</x:v>
      </x:c>
      <x:c r="H57" s="7" t="n">
        <x:v>1262250</x:v>
      </x:c>
      <x:c r="I57" s="7" t="n">
        <x:v>100980</x:v>
      </x:c>
      <x:c r="J57" s="7" t="n">
        <x:f>G57-H57-I57</x:f>
        <x:v>319770</x:v>
      </x:c>
      <x:c r="K57" s="10" t="n">
        <x:f>IF(G57=0,0,(G57-H57)/G57)</x:f>
        <x:v>0.25</x:v>
      </x:c>
      <x:c r="L57" s="10" t="n">
        <x:v>1.2</x:v>
      </x:c>
      <x:c r="M57" s="10" t="n">
        <x:v>0.95</x:v>
      </x:c>
      <x:c r="N57" s="10" t="n">
        <x:v>1</x:v>
      </x:c>
      <x:c r="O57" s="7" t="n">
        <x:f>G57*L57*M57*N57</x:f>
        <x:v>1918620</x:v>
      </x:c>
      <x:c r="P57" s="7" t="n">
        <x:v>614295</x:v>
      </x:c>
      <x:c r="Q57" s="7" t="n">
        <x:v>5700</x:v>
      </x:c>
      <x:c r="R57" s="7" t="n">
        <x:v>1918620</x:v>
      </x:c>
      <x:c r="S57" s="7" t="n">
        <x:f>ROUND(O57-R57,6)</x:f>
        <x:v>0</x:v>
      </x:c>
    </x:row>
    <x:row r="58" ht="22" customHeight="1">
      <x:c r="A58" s="7" t="str">
        <x:v>PROCESS</x:v>
      </x:c>
      <x:c r="B58" s="7" t="str">
        <x:v>Q3</x:v>
      </x:c>
      <x:c r="C58" s="7" t="str">
        <x:v>P017</x:v>
      </x:c>
      <x:c r="D58" s="7" t="str">
        <x:v>D01</x:v>
      </x:c>
      <x:c r="E58" s="7" t="str">
        <x:v>G03</x:v>
      </x:c>
      <x:c r="F58" s="7" t="str">
        <x:v>华东</x:v>
      </x:c>
      <x:c r="G58" s="7" t="n">
        <x:v>913000</x:v>
      </x:c>
      <x:c r="H58" s="7" t="n">
        <x:v>639100</x:v>
      </x:c>
      <x:c r="I58" s="7" t="n">
        <x:v>164340</x:v>
      </x:c>
      <x:c r="J58" s="7" t="n">
        <x:f>G58-H58-I58</x:f>
        <x:v>109560</x:v>
      </x:c>
      <x:c r="K58" s="10" t="n">
        <x:f>IF(G58=0,0,(G58-H58)/G58)</x:f>
        <x:v>0.3</x:v>
      </x:c>
      <x:c r="L58" s="10" t="n">
        <x:v>1.1</x:v>
      </x:c>
      <x:c r="M58" s="10" t="n">
        <x:v>1.1</x:v>
      </x:c>
      <x:c r="N58" s="10" t="n">
        <x:v>1</x:v>
      </x:c>
      <x:c r="O58" s="7" t="n">
        <x:f>G58*L58*M58*N58</x:f>
        <x:v>1104730.0000000002</x:v>
      </x:c>
      <x:c r="P58" s="7" t="n">
        <x:v>401720</x:v>
      </x:c>
      <x:c r="Q58" s="7" t="n">
        <x:v>6655</x:v>
      </x:c>
      <x:c r="R58" s="7" t="n">
        <x:v>1104730</x:v>
      </x:c>
      <x:c r="S58" s="7" t="n">
        <x:f>ROUND(O58-R58,6)</x:f>
        <x:v>0</x:v>
      </x:c>
    </x:row>
    <x:row r="59" ht="22" customHeight="1">
      <x:c r="A59" s="7" t="str">
        <x:v>PROCESS</x:v>
      </x:c>
      <x:c r="B59" s="7" t="str">
        <x:v>Q3</x:v>
      </x:c>
      <x:c r="C59" s="7" t="str">
        <x:v>P018</x:v>
      </x:c>
      <x:c r="D59" s="7" t="str">
        <x:v>D01</x:v>
      </x:c>
      <x:c r="E59" s="7" t="str">
        <x:v>G03</x:v>
      </x:c>
      <x:c r="F59" s="7" t="str">
        <x:v>华南</x:v>
      </x:c>
      <x:c r="G59" s="7" t="n">
        <x:v>1364000</x:v>
      </x:c>
      <x:c r="H59" s="7" t="n">
        <x:v>886600</x:v>
      </x:c>
      <x:c r="I59" s="7" t="n">
        <x:v>136400</x:v>
      </x:c>
      <x:c r="J59" s="7" t="n">
        <x:f>G59-H59-I59</x:f>
        <x:v>341000</x:v>
      </x:c>
      <x:c r="K59" s="10" t="n">
        <x:f>IF(G59=0,0,(G59-H59)/G59)</x:f>
        <x:v>0.35</x:v>
      </x:c>
      <x:c r="L59" s="10" t="n">
        <x:v>1</x:v>
      </x:c>
      <x:c r="M59" s="10" t="n">
        <x:v>0.95</x:v>
      </x:c>
      <x:c r="N59" s="10" t="n">
        <x:v>1.2</x:v>
      </x:c>
      <x:c r="O59" s="7" t="n">
        <x:f>G59*L59*M59*N59</x:f>
        <x:v>1554960</x:v>
      </x:c>
      <x:c r="P59" s="7" t="n">
        <x:v>381920</x:v>
      </x:c>
      <x:c r="Q59" s="7" t="n">
        <x:v>17812.5</x:v>
      </x:c>
      <x:c r="R59" s="7" t="n">
        <x:v>1554960</x:v>
      </x:c>
      <x:c r="S59" s="7" t="n">
        <x:f>ROUND(O59-R59,6)</x:f>
        <x:v>0</x:v>
      </x:c>
    </x:row>
    <x:row r="60" ht="22" customHeight="1">
      <x:c r="A60" s="7" t="str">
        <x:v>PROCESS</x:v>
      </x:c>
      <x:c r="B60" s="7" t="str">
        <x:v>Q3</x:v>
      </x:c>
      <x:c r="C60" s="7" t="str">
        <x:v>P019</x:v>
      </x:c>
      <x:c r="D60" s="7" t="str">
        <x:v>D02</x:v>
      </x:c>
      <x:c r="E60" s="7" t="str">
        <x:v>G04</x:v>
      </x:c>
      <x:c r="F60" s="7" t="str">
        <x:v>华北</x:v>
      </x:c>
      <x:c r="G60" s="7" t="n">
        <x:v>1474000</x:v>
      </x:c>
      <x:c r="H60" s="7" t="n">
        <x:v>1326600</x:v>
      </x:c>
      <x:c r="I60" s="7" t="n">
        <x:v>88440</x:v>
      </x:c>
      <x:c r="J60" s="7" t="n">
        <x:f>G60-H60-I60</x:f>
        <x:v>58960</x:v>
      </x:c>
      <x:c r="K60" s="10" t="n">
        <x:f>IF(G60=0,0,(G60-H60)/G60)</x:f>
        <x:v>0.1</x:v>
      </x:c>
      <x:c r="L60" s="10" t="n">
        <x:v>0.9</x:v>
      </x:c>
      <x:c r="M60" s="10" t="n">
        <x:v>1.1</x:v>
      </x:c>
      <x:c r="N60" s="10" t="n">
        <x:v>0</x:v>
      </x:c>
      <x:c r="O60" s="7" t="n">
        <x:f>G60*L60*M60*N60</x:f>
        <x:v>0</x:v>
      </x:c>
      <x:c r="P60" s="7" t="n">
        <x:v>589600</x:v>
      </x:c>
      <x:c r="Q60" s="7" t="n">
        <x:v>14850</x:v>
      </x:c>
      <x:c r="R60" s="7" t="n">
        <x:v>0</x:v>
      </x:c>
      <x:c r="S60" s="7" t="n">
        <x:f>ROUND(O60-R60,6)</x:f>
        <x:v>0</x:v>
      </x:c>
    </x:row>
    <x:row r="61" ht="22" customHeight="1">
      <x:c r="A61" s="7" t="str">
        <x:v>PROCESS</x:v>
      </x:c>
      <x:c r="B61" s="7" t="str">
        <x:v>Q3</x:v>
      </x:c>
      <x:c r="C61" s="7" t="str">
        <x:v>P020</x:v>
      </x:c>
      <x:c r="D61" s="7" t="str">
        <x:v>D02</x:v>
      </x:c>
      <x:c r="E61" s="7" t="str">
        <x:v>G04</x:v>
      </x:c>
      <x:c r="F61" s="7" t="str">
        <x:v>西部</x:v>
      </x:c>
      <x:c r="G61" s="7" t="n">
        <x:v>1265000</x:v>
      </x:c>
      <x:c r="H61" s="7" t="n">
        <x:v>1075250</x:v>
      </x:c>
      <x:c r="I61" s="7" t="n">
        <x:v>227700</x:v>
      </x:c>
      <x:c r="J61" s="7" t="n">
        <x:f>G61-H61-I61</x:f>
        <x:v>-37950</x:v>
      </x:c>
      <x:c r="K61" s="10" t="n">
        <x:f>IF(G61=0,0,(G61-H61)/G61)</x:f>
        <x:v>0.15</x:v>
      </x:c>
      <x:c r="L61" s="10" t="n">
        <x:v>1.2</x:v>
      </x:c>
      <x:c r="M61" s="10" t="n">
        <x:v>0.95</x:v>
      </x:c>
      <x:c r="N61" s="10" t="n">
        <x:v>0.8</x:v>
      </x:c>
      <x:c r="O61" s="7" t="n">
        <x:f>G61*L61*M61*N61</x:f>
        <x:v>1153680</x:v>
      </x:c>
      <x:c r="P61" s="7" t="n">
        <x:v>461725</x:v>
      </x:c>
      <x:c r="Q61" s="7" t="n">
        <x:v>18810</x:v>
      </x:c>
      <x:c r="R61" s="7" t="n">
        <x:v>1153680</x:v>
      </x:c>
      <x:c r="S61" s="7" t="n">
        <x:f>ROUND(O61-R61,6)</x:f>
        <x:v>0</x:v>
      </x:c>
    </x:row>
    <x:row r="62" ht="22" customHeight="1">
      <x:c r="A62" s="7" t="str">
        <x:v>PROCESS</x:v>
      </x:c>
      <x:c r="B62" s="7" t="str">
        <x:v>Q3</x:v>
      </x:c>
      <x:c r="C62" s="7" t="str">
        <x:v>P021</x:v>
      </x:c>
      <x:c r="D62" s="7" t="str">
        <x:v>D02</x:v>
      </x:c>
      <x:c r="E62" s="7" t="str">
        <x:v>G04</x:v>
      </x:c>
      <x:c r="F62" s="7" t="str">
        <x:v>华东</x:v>
      </x:c>
      <x:c r="G62" s="7" t="n">
        <x:v>1397000</x:v>
      </x:c>
      <x:c r="H62" s="7" t="n">
        <x:v>1117600</x:v>
      </x:c>
      <x:c r="I62" s="7" t="n">
        <x:v>139700</x:v>
      </x:c>
      <x:c r="J62" s="7" t="n">
        <x:f>G62-H62-I62</x:f>
        <x:v>139700</x:v>
      </x:c>
      <x:c r="K62" s="10" t="n">
        <x:f>IF(G62=0,0,(G62-H62)/G62)</x:f>
        <x:v>0.2</x:v>
      </x:c>
      <x:c r="L62" s="10" t="n">
        <x:v>1.1</x:v>
      </x:c>
      <x:c r="M62" s="10" t="n">
        <x:v>1.1</x:v>
      </x:c>
      <x:c r="N62" s="10" t="n">
        <x:v>0.8</x:v>
      </x:c>
      <x:c r="O62" s="7" t="n">
        <x:f>G62*L62*M62*N62</x:f>
        <x:v>1352296.0000000005</x:v>
      </x:c>
      <x:c r="P62" s="7" t="n">
        <x:v>614680</x:v>
      </x:c>
      <x:c r="Q62" s="7" t="n">
        <x:v>7562.5</x:v>
      </x:c>
      <x:c r="R62" s="7" t="n">
        <x:v>1352296</x:v>
      </x:c>
      <x:c r="S62" s="7" t="n">
        <x:f>ROUND(O62-R62,6)</x:f>
        <x:v>0</x:v>
      </x:c>
    </x:row>
    <x:row r="63" ht="22" customHeight="1">
      <x:c r="A63" s="7" t="str">
        <x:v>PROCESS</x:v>
      </x:c>
      <x:c r="B63" s="7" t="str">
        <x:v>Q3</x:v>
      </x:c>
      <x:c r="C63" s="7" t="str">
        <x:v>P022</x:v>
      </x:c>
      <x:c r="D63" s="7" t="str">
        <x:v>D02</x:v>
      </x:c>
      <x:c r="E63" s="7" t="str">
        <x:v>G04</x:v>
      </x:c>
      <x:c r="F63" s="7" t="str">
        <x:v>华南</x:v>
      </x:c>
      <x:c r="G63" s="7" t="n">
        <x:v>1166000</x:v>
      </x:c>
      <x:c r="H63" s="7" t="n">
        <x:v>874500</x:v>
      </x:c>
      <x:c r="I63" s="7" t="n">
        <x:v>69960</x:v>
      </x:c>
      <x:c r="J63" s="7" t="n">
        <x:f>G63-H63-I63</x:f>
        <x:v>221540</x:v>
      </x:c>
      <x:c r="K63" s="10" t="n">
        <x:f>IF(G63=0,0,(G63-H63)/G63)</x:f>
        <x:v>0.25</x:v>
      </x:c>
      <x:c r="L63" s="10" t="n">
        <x:v>1</x:v>
      </x:c>
      <x:c r="M63" s="10" t="n">
        <x:v>0.95</x:v>
      </x:c>
      <x:c r="N63" s="10" t="n">
        <x:v>1</x:v>
      </x:c>
      <x:c r="O63" s="7" t="n">
        <x:f>G63*L63*M63*N63</x:f>
        <x:v>1107700</x:v>
      </x:c>
      <x:c r="P63" s="7" t="n">
        <x:v>326480</x:v>
      </x:c>
      <x:c r="Q63" s="7" t="n">
        <x:v>14250</x:v>
      </x:c>
      <x:c r="R63" s="7" t="n">
        <x:v>1107700</x:v>
      </x:c>
      <x:c r="S63" s="7" t="n">
        <x:f>ROUND(O63-R63,6)</x:f>
        <x:v>0</x:v>
      </x:c>
    </x:row>
    <x:row r="64" ht="22" customHeight="1">
      <x:c r="A64" s="7" t="str">
        <x:v>PROCESS</x:v>
      </x:c>
      <x:c r="B64" s="7" t="str">
        <x:v>Q3</x:v>
      </x:c>
      <x:c r="C64" s="7" t="str">
        <x:v>P023</x:v>
      </x:c>
      <x:c r="D64" s="7" t="str">
        <x:v>D02</x:v>
      </x:c>
      <x:c r="E64" s="7" t="str">
        <x:v>G04</x:v>
      </x:c>
      <x:c r="F64" s="7" t="str">
        <x:v>华北</x:v>
      </x:c>
      <x:c r="G64" s="7" t="n">
        <x:v>1067000</x:v>
      </x:c>
      <x:c r="H64" s="7" t="n">
        <x:v>746900</x:v>
      </x:c>
      <x:c r="I64" s="7" t="n">
        <x:v>192060</x:v>
      </x:c>
      <x:c r="J64" s="7" t="n">
        <x:f>G64-H64-I64</x:f>
        <x:v>128040</x:v>
      </x:c>
      <x:c r="K64" s="10" t="n">
        <x:f>IF(G64=0,0,(G64-H64)/G64)</x:f>
        <x:v>0.3</x:v>
      </x:c>
      <x:c r="L64" s="10" t="n">
        <x:v>0.9</x:v>
      </x:c>
      <x:c r="M64" s="10" t="n">
        <x:v>1.1</x:v>
      </x:c>
      <x:c r="N64" s="10" t="n">
        <x:v>1</x:v>
      </x:c>
      <x:c r="O64" s="7" t="n">
        <x:f>G64*L64*M64*N64</x:f>
        <x:v>1056330</x:v>
      </x:c>
      <x:c r="P64" s="7" t="n">
        <x:v>426800</x:v>
      </x:c>
      <x:c r="Q64" s="7" t="n">
        <x:v>16335</x:v>
      </x:c>
      <x:c r="R64" s="7" t="n">
        <x:v>1056330</x:v>
      </x:c>
      <x:c r="S64" s="7" t="n">
        <x:f>ROUND(O64-R64,6)</x:f>
        <x:v>0</x:v>
      </x:c>
    </x:row>
    <x:row r="65" ht="22" customHeight="1">
      <x:c r="A65" s="7" t="str">
        <x:v>PROCESS</x:v>
      </x:c>
      <x:c r="B65" s="7" t="str">
        <x:v>Q3</x:v>
      </x:c>
      <x:c r="C65" s="7" t="str">
        <x:v>P024</x:v>
      </x:c>
      <x:c r="D65" s="7" t="str">
        <x:v>D02</x:v>
      </x:c>
      <x:c r="E65" s="7" t="str">
        <x:v>G04</x:v>
      </x:c>
      <x:c r="F65" s="7" t="str">
        <x:v>西部</x:v>
      </x:c>
      <x:c r="G65" s="7" t="n">
        <x:v>1089000</x:v>
      </x:c>
      <x:c r="H65" s="7" t="n">
        <x:v>707850</x:v>
      </x:c>
      <x:c r="I65" s="7" t="n">
        <x:v>108900</x:v>
      </x:c>
      <x:c r="J65" s="7" t="n">
        <x:f>G65-H65-I65</x:f>
        <x:v>272250</x:v>
      </x:c>
      <x:c r="K65" s="10" t="n">
        <x:f>IF(G65=0,0,(G65-H65)/G65)</x:f>
        <x:v>0.35</x:v>
      </x:c>
      <x:c r="L65" s="10" t="n">
        <x:v>1.2</x:v>
      </x:c>
      <x:c r="M65" s="10" t="n">
        <x:v>0.95</x:v>
      </x:c>
      <x:c r="N65" s="10" t="n">
        <x:v>1.2</x:v>
      </x:c>
      <x:c r="O65" s="7" t="n">
        <x:f>G65*L65*M65*N65</x:f>
        <x:v>1489752</x:v>
      </x:c>
      <x:c r="P65" s="7" t="n">
        <x:v>397485</x:v>
      </x:c>
      <x:c r="Q65" s="7" t="n">
        <x:v>21375</x:v>
      </x:c>
      <x:c r="R65" s="7" t="n">
        <x:v>1489752</x:v>
      </x:c>
      <x:c r="S65" s="7" t="n">
        <x:f>ROUND(O65-R65,6)</x:f>
        <x:v>0</x:v>
      </x:c>
    </x:row>
    <x:row r="66" ht="22" customHeight="1">
      <x:c r="A66" s="7" t="str">
        <x:v>PROCESS</x:v>
      </x:c>
      <x:c r="B66" s="7" t="str">
        <x:v>Q3</x:v>
      </x:c>
      <x:c r="C66" s="7" t="str">
        <x:v>P025</x:v>
      </x:c>
      <x:c r="D66" s="7" t="str">
        <x:v>D02</x:v>
      </x:c>
      <x:c r="E66" s="7" t="str">
        <x:v>G05</x:v>
      </x:c>
      <x:c r="F66" s="7" t="str">
        <x:v>华东</x:v>
      </x:c>
      <x:c r="G66" s="7" t="n">
        <x:v>715000</x:v>
      </x:c>
      <x:c r="H66" s="7" t="n">
        <x:v>643500</x:v>
      </x:c>
      <x:c r="I66" s="7" t="n">
        <x:v>42900</x:v>
      </x:c>
      <x:c r="J66" s="7" t="n">
        <x:f>G66-H66-I66</x:f>
        <x:v>28600</x:v>
      </x:c>
      <x:c r="K66" s="10" t="n">
        <x:f>IF(G66=0,0,(G66-H66)/G66)</x:f>
        <x:v>0.1</x:v>
      </x:c>
      <x:c r="L66" s="10" t="n">
        <x:v>1.1</x:v>
      </x:c>
      <x:c r="M66" s="10" t="n">
        <x:v>1.1</x:v>
      </x:c>
      <x:c r="N66" s="10" t="n">
        <x:v>0</x:v>
      </x:c>
      <x:c r="O66" s="7" t="n">
        <x:f>G66*L66*M66*N66</x:f>
        <x:v>0</x:v>
      </x:c>
      <x:c r="P66" s="7" t="n">
        <x:v>314600</x:v>
      </x:c>
      <x:c r="Q66" s="7" t="n">
        <x:v>6050</x:v>
      </x:c>
      <x:c r="R66" s="7" t="n">
        <x:v>0</x:v>
      </x:c>
      <x:c r="S66" s="7" t="n">
        <x:f>ROUND(O66-R66,6)</x:f>
        <x:v>0</x:v>
      </x:c>
    </x:row>
    <x:row r="67" ht="22" customHeight="1">
      <x:c r="A67" s="7" t="str">
        <x:v>PROCESS</x:v>
      </x:c>
      <x:c r="B67" s="7" t="str">
        <x:v>Q3</x:v>
      </x:c>
      <x:c r="C67" s="7" t="str">
        <x:v>P026</x:v>
      </x:c>
      <x:c r="D67" s="7" t="str">
        <x:v>D02</x:v>
      </x:c>
      <x:c r="E67" s="7" t="str">
        <x:v>G05</x:v>
      </x:c>
      <x:c r="F67" s="7" t="str">
        <x:v>华南</x:v>
      </x:c>
      <x:c r="G67" s="7" t="n">
        <x:v>440000</x:v>
      </x:c>
      <x:c r="H67" s="7" t="n">
        <x:v>374000</x:v>
      </x:c>
      <x:c r="I67" s="7" t="n">
        <x:v>79200</x:v>
      </x:c>
      <x:c r="J67" s="7" t="n">
        <x:f>G67-H67-I67</x:f>
        <x:v>-13200</x:v>
      </x:c>
      <x:c r="K67" s="10" t="n">
        <x:f>IF(G67=0,0,(G67-H67)/G67)</x:f>
        <x:v>0.15</x:v>
      </x:c>
      <x:c r="L67" s="10" t="n">
        <x:v>1</x:v>
      </x:c>
      <x:c r="M67" s="10" t="n">
        <x:v>0.95</x:v>
      </x:c>
      <x:c r="N67" s="10" t="n">
        <x:v>0.8</x:v>
      </x:c>
      <x:c r="O67" s="7" t="n">
        <x:f>G67*L67*M67*N67</x:f>
        <x:v>334400</x:v>
      </x:c>
      <x:c r="P67" s="7" t="n">
        <x:v>123200</x:v>
      </x:c>
      <x:c r="Q67" s="7" t="n">
        <x:v>5225</x:v>
      </x:c>
      <x:c r="R67" s="7" t="n">
        <x:v>334400</x:v>
      </x:c>
      <x:c r="S67" s="7" t="n">
        <x:f>ROUND(O67-R67,6)</x:f>
        <x:v>0</x:v>
      </x:c>
    </x:row>
    <x:row r="68" ht="22" customHeight="1">
      <x:c r="A68" s="7" t="str">
        <x:v>PROCESS</x:v>
      </x:c>
      <x:c r="B68" s="7" t="str">
        <x:v>Q3</x:v>
      </x:c>
      <x:c r="C68" s="7" t="str">
        <x:v>P027</x:v>
      </x:c>
      <x:c r="D68" s="7" t="str">
        <x:v>D02</x:v>
      </x:c>
      <x:c r="E68" s="7" t="str">
        <x:v>G05</x:v>
      </x:c>
      <x:c r="F68" s="7" t="str">
        <x:v>华北</x:v>
      </x:c>
      <x:c r="G68" s="7" t="n">
        <x:v>1331000</x:v>
      </x:c>
      <x:c r="H68" s="7" t="n">
        <x:v>1064800</x:v>
      </x:c>
      <x:c r="I68" s="7" t="n">
        <x:v>133100</x:v>
      </x:c>
      <x:c r="J68" s="7" t="n">
        <x:f>G68-H68-I68</x:f>
        <x:v>133100</x:v>
      </x:c>
      <x:c r="K68" s="10" t="n">
        <x:f>IF(G68=0,0,(G68-H68)/G68)</x:f>
        <x:v>0.2</x:v>
      </x:c>
      <x:c r="L68" s="10" t="n">
        <x:v>0.9</x:v>
      </x:c>
      <x:c r="M68" s="10" t="n">
        <x:v>1.1</x:v>
      </x:c>
      <x:c r="N68" s="10" t="n">
        <x:v>0.8</x:v>
      </x:c>
      <x:c r="O68" s="7" t="n">
        <x:f>G68*L68*M68*N68</x:f>
        <x:v>1054152</x:v>
      </x:c>
      <x:c r="P68" s="7" t="n">
        <x:v>532400</x:v>
      </x:c>
      <x:c r="Q68" s="7" t="n">
        <x:v>18562.5</x:v>
      </x:c>
      <x:c r="R68" s="7" t="n">
        <x:v>1054152</x:v>
      </x:c>
      <x:c r="S68" s="7" t="n">
        <x:f>ROUND(O68-R68,6)</x:f>
        <x:v>0</x:v>
      </x:c>
    </x:row>
    <x:row r="69" ht="22" customHeight="1">
      <x:c r="A69" s="7" t="str">
        <x:v>PROCESS</x:v>
      </x:c>
      <x:c r="B69" s="7" t="str">
        <x:v>Q3</x:v>
      </x:c>
      <x:c r="C69" s="7" t="str">
        <x:v>P028</x:v>
      </x:c>
      <x:c r="D69" s="7" t="str">
        <x:v>D02</x:v>
      </x:c>
      <x:c r="E69" s="7" t="str">
        <x:v>G05</x:v>
      </x:c>
      <x:c r="F69" s="7" t="str">
        <x:v>西部</x:v>
      </x:c>
      <x:c r="G69" s="7" t="n">
        <x:v>660000</x:v>
      </x:c>
      <x:c r="H69" s="7" t="n">
        <x:v>495000</x:v>
      </x:c>
      <x:c r="I69" s="7" t="n">
        <x:v>39600</x:v>
      </x:c>
      <x:c r="J69" s="7" t="n">
        <x:f>G69-H69-I69</x:f>
        <x:v>125400</x:v>
      </x:c>
      <x:c r="K69" s="10" t="n">
        <x:f>IF(G69=0,0,(G69-H69)/G69)</x:f>
        <x:v>0.25</x:v>
      </x:c>
      <x:c r="L69" s="10" t="n">
        <x:v>1.2</x:v>
      </x:c>
      <x:c r="M69" s="10" t="n">
        <x:v>0.95</x:v>
      </x:c>
      <x:c r="N69" s="10" t="n">
        <x:v>1</x:v>
      </x:c>
      <x:c r="O69" s="7" t="n">
        <x:f>G69*L69*M69*N69</x:f>
        <x:v>752400</x:v>
      </x:c>
      <x:c r="P69" s="7" t="n">
        <x:v>240900</x:v>
      </x:c>
      <x:c r="Q69" s="7" t="n">
        <x:v>17100</x:v>
      </x:c>
      <x:c r="R69" s="7" t="n">
        <x:v>752400</x:v>
      </x:c>
      <x:c r="S69" s="7" t="n">
        <x:f>ROUND(O69-R69,6)</x:f>
        <x:v>0</x:v>
      </x:c>
    </x:row>
    <x:row r="70" ht="22" customHeight="1">
      <x:c r="A70" s="7" t="str">
        <x:v>PROCESS</x:v>
      </x:c>
      <x:c r="B70" s="7" t="str">
        <x:v>Q3</x:v>
      </x:c>
      <x:c r="C70" s="7" t="str">
        <x:v>P029</x:v>
      </x:c>
      <x:c r="D70" s="7" t="str">
        <x:v>D02</x:v>
      </x:c>
      <x:c r="E70" s="7" t="str">
        <x:v>G05</x:v>
      </x:c>
      <x:c r="F70" s="7" t="str">
        <x:v>华东</x:v>
      </x:c>
      <x:c r="G70" s="7" t="n">
        <x:v>451000</x:v>
      </x:c>
      <x:c r="H70" s="7" t="n">
        <x:v>315700</x:v>
      </x:c>
      <x:c r="I70" s="7" t="n">
        <x:v>81180</x:v>
      </x:c>
      <x:c r="J70" s="7" t="n">
        <x:f>G70-H70-I70</x:f>
        <x:v>54120</x:v>
      </x:c>
      <x:c r="K70" s="10" t="n">
        <x:f>IF(G70=0,0,(G70-H70)/G70)</x:f>
        <x:v>0.3</x:v>
      </x:c>
      <x:c r="L70" s="10" t="n">
        <x:v>1.1</x:v>
      </x:c>
      <x:c r="M70" s="10" t="n">
        <x:v>1.1</x:v>
      </x:c>
      <x:c r="N70" s="10" t="n">
        <x:v>1</x:v>
      </x:c>
      <x:c r="O70" s="7" t="n">
        <x:f>G70*L70*M70*N70</x:f>
        <x:v>545710.0000000001</x:v>
      </x:c>
      <x:c r="P70" s="7" t="n">
        <x:v>198440</x:v>
      </x:c>
      <x:c r="Q70" s="7" t="n">
        <x:v>6655</x:v>
      </x:c>
      <x:c r="R70" s="7" t="n">
        <x:v>545710</x:v>
      </x:c>
      <x:c r="S70" s="7" t="n">
        <x:f>ROUND(O70-R70,6)</x:f>
        <x:v>0</x:v>
      </x:c>
    </x:row>
    <x:row r="71" ht="22" customHeight="1">
      <x:c r="A71" s="7" t="str">
        <x:v>PROCESS</x:v>
      </x:c>
      <x:c r="B71" s="7" t="str">
        <x:v>Q3</x:v>
      </x:c>
      <x:c r="C71" s="7" t="str">
        <x:v>P030</x:v>
      </x:c>
      <x:c r="D71" s="7" t="str">
        <x:v>D02</x:v>
      </x:c>
      <x:c r="E71" s="7" t="str">
        <x:v>G05</x:v>
      </x:c>
      <x:c r="F71" s="7" t="str">
        <x:v>华南</x:v>
      </x:c>
      <x:c r="G71" s="7" t="n">
        <x:v>935000</x:v>
      </x:c>
      <x:c r="H71" s="7" t="n">
        <x:v>607750</x:v>
      </x:c>
      <x:c r="I71" s="7" t="n">
        <x:v>93500</x:v>
      </x:c>
      <x:c r="J71" s="7" t="n">
        <x:f>G71-H71-I71</x:f>
        <x:v>233750</x:v>
      </x:c>
      <x:c r="K71" s="10" t="n">
        <x:f>IF(G71=0,0,(G71-H71)/G71)</x:f>
        <x:v>0.35</x:v>
      </x:c>
      <x:c r="L71" s="10" t="n">
        <x:v>1</x:v>
      </x:c>
      <x:c r="M71" s="10" t="n">
        <x:v>0.95</x:v>
      </x:c>
      <x:c r="N71" s="10" t="n">
        <x:v>1.2</x:v>
      </x:c>
      <x:c r="O71" s="7" t="n">
        <x:f>G71*L71*M71*N71</x:f>
        <x:v>1065900</x:v>
      </x:c>
      <x:c r="P71" s="7" t="n">
        <x:v>261800</x:v>
      </x:c>
      <x:c r="Q71" s="7" t="n">
        <x:v>17812.5</x:v>
      </x:c>
      <x:c r="R71" s="7" t="n">
        <x:v>1065900</x:v>
      </x:c>
      <x:c r="S71" s="7" t="n">
        <x:f>ROUND(O71-R71,6)</x:f>
        <x:v>0</x:v>
      </x:c>
    </x:row>
    <x:row r="72" ht="22" customHeight="1">
      <x:c r="A72" s="7" t="str">
        <x:v>PROCESS</x:v>
      </x:c>
      <x:c r="B72" s="7" t="str">
        <x:v>Q3</x:v>
      </x:c>
      <x:c r="C72" s="7" t="str">
        <x:v>P031</x:v>
      </x:c>
      <x:c r="D72" s="7" t="str">
        <x:v>D02</x:v>
      </x:c>
      <x:c r="E72" s="7" t="str">
        <x:v>G06</x:v>
      </x:c>
      <x:c r="F72" s="7" t="str">
        <x:v>华北</x:v>
      </x:c>
      <x:c r="G72" s="7" t="n">
        <x:v>1122000</x:v>
      </x:c>
      <x:c r="H72" s="7" t="n">
        <x:v>1009800</x:v>
      </x:c>
      <x:c r="I72" s="7" t="n">
        <x:v>67320</x:v>
      </x:c>
      <x:c r="J72" s="7" t="n">
        <x:f>G72-H72-I72</x:f>
        <x:v>44880</x:v>
      </x:c>
      <x:c r="K72" s="10" t="n">
        <x:f>IF(G72=0,0,(G72-H72)/G72)</x:f>
        <x:v>0.1</x:v>
      </x:c>
      <x:c r="L72" s="10" t="n">
        <x:v>0.9</x:v>
      </x:c>
      <x:c r="M72" s="10" t="n">
        <x:v>1.1</x:v>
      </x:c>
      <x:c r="N72" s="10" t="n">
        <x:v>0</x:v>
      </x:c>
      <x:c r="O72" s="7" t="n">
        <x:f>G72*L72*M72*N72</x:f>
        <x:v>0</x:v>
      </x:c>
      <x:c r="P72" s="7" t="n">
        <x:v>0</x:v>
      </x:c>
      <x:c r="Q72" s="7" t="n">
        <x:v>4950</x:v>
      </x:c>
      <x:c r="R72" s="7" t="n">
        <x:v>0</x:v>
      </x:c>
      <x:c r="S72" s="7" t="n">
        <x:f>ROUND(O72-R72,6)</x:f>
        <x:v>0</x:v>
      </x:c>
    </x:row>
    <x:row r="73" ht="22" customHeight="1">
      <x:c r="A73" s="7" t="str">
        <x:v>PROCESS</x:v>
      </x:c>
      <x:c r="B73" s="7" t="str">
        <x:v>Q3</x:v>
      </x:c>
      <x:c r="C73" s="7" t="str">
        <x:v>P032</x:v>
      </x:c>
      <x:c r="D73" s="7" t="str">
        <x:v>D02</x:v>
      </x:c>
      <x:c r="E73" s="7" t="str">
        <x:v>G06</x:v>
      </x:c>
      <x:c r="F73" s="7" t="str">
        <x:v>西部</x:v>
      </x:c>
      <x:c r="G73" s="7" t="n">
        <x:v>1430000</x:v>
      </x:c>
      <x:c r="H73" s="7" t="n">
        <x:v>1215500</x:v>
      </x:c>
      <x:c r="I73" s="7" t="n">
        <x:v>257400</x:v>
      </x:c>
      <x:c r="J73" s="7" t="n">
        <x:f>G73-H73-I73</x:f>
        <x:v>-42900</x:v>
      </x:c>
      <x:c r="K73" s="10" t="n">
        <x:f>IF(G73=0,0,(G73-H73)/G73)</x:f>
        <x:v>0.15</x:v>
      </x:c>
      <x:c r="L73" s="10" t="n">
        <x:v>1.2</x:v>
      </x:c>
      <x:c r="M73" s="10" t="n">
        <x:v>0.95</x:v>
      </x:c>
      <x:c r="N73" s="10" t="n">
        <x:v>0.8</x:v>
      </x:c>
      <x:c r="O73" s="7" t="n">
        <x:f>G73*L73*M73*N73</x:f>
        <x:v>1304160</x:v>
      </x:c>
      <x:c r="P73" s="7" t="n">
        <x:v>0</x:v>
      </x:c>
      <x:c r="Q73" s="7" t="n">
        <x:v>18810</x:v>
      </x:c>
      <x:c r="R73" s="7" t="n">
        <x:v>1304160</x:v>
      </x:c>
      <x:c r="S73" s="7" t="n">
        <x:f>ROUND(O73-R73,6)</x:f>
        <x:v>0</x:v>
      </x:c>
    </x:row>
    <x:row r="74" ht="22" customHeight="1">
      <x:c r="A74" s="7" t="str">
        <x:v>PROCESS</x:v>
      </x:c>
      <x:c r="B74" s="7" t="str">
        <x:v>Q3</x:v>
      </x:c>
      <x:c r="C74" s="7" t="str">
        <x:v>P033</x:v>
      </x:c>
      <x:c r="D74" s="7" t="str">
        <x:v>D02</x:v>
      </x:c>
      <x:c r="E74" s="7" t="str">
        <x:v>G06</x:v>
      </x:c>
      <x:c r="F74" s="7" t="str">
        <x:v>华东</x:v>
      </x:c>
      <x:c r="G74" s="7" t="n">
        <x:v>1551000</x:v>
      </x:c>
      <x:c r="H74" s="7" t="n">
        <x:v>1240800</x:v>
      </x:c>
      <x:c r="I74" s="7" t="n">
        <x:v>155100</x:v>
      </x:c>
      <x:c r="J74" s="7" t="n">
        <x:f>G74-H74-I74</x:f>
        <x:v>155100</x:v>
      </x:c>
      <x:c r="K74" s="10" t="n">
        <x:f>IF(G74=0,0,(G74-H74)/G74)</x:f>
        <x:v>0.2</x:v>
      </x:c>
      <x:c r="L74" s="10" t="n">
        <x:v>1.1</x:v>
      </x:c>
      <x:c r="M74" s="10" t="n">
        <x:v>1.1</x:v>
      </x:c>
      <x:c r="N74" s="10" t="n">
        <x:v>0.8</x:v>
      </x:c>
      <x:c r="O74" s="7" t="n">
        <x:f>G74*L74*M74*N74</x:f>
        <x:v>1501368.0000000005</x:v>
      </x:c>
      <x:c r="P74" s="7" t="n">
        <x:v>0</x:v>
      </x:c>
      <x:c r="Q74" s="7" t="n">
        <x:v>7562.5</x:v>
      </x:c>
      <x:c r="R74" s="7" t="n">
        <x:v>1501368</x:v>
      </x:c>
      <x:c r="S74" s="7" t="n">
        <x:f>ROUND(O74-R74,6)</x:f>
        <x:v>0</x:v>
      </x:c>
    </x:row>
    <x:row r="75" ht="22" customHeight="1">
      <x:c r="A75" s="7" t="str">
        <x:v>PROCESS</x:v>
      </x:c>
      <x:c r="B75" s="7" t="str">
        <x:v>Q3</x:v>
      </x:c>
      <x:c r="C75" s="7" t="str">
        <x:v>P034</x:v>
      </x:c>
      <x:c r="D75" s="7" t="str">
        <x:v>D02</x:v>
      </x:c>
      <x:c r="E75" s="7" t="str">
        <x:v>G06</x:v>
      </x:c>
      <x:c r="F75" s="7" t="str">
        <x:v>华南</x:v>
      </x:c>
      <x:c r="G75" s="7" t="n">
        <x:v>1067000</x:v>
      </x:c>
      <x:c r="H75" s="7" t="n">
        <x:v>800250</x:v>
      </x:c>
      <x:c r="I75" s="7" t="n">
        <x:v>64020</x:v>
      </x:c>
      <x:c r="J75" s="7" t="n">
        <x:f>G75-H75-I75</x:f>
        <x:v>202730</x:v>
      </x:c>
      <x:c r="K75" s="10" t="n">
        <x:f>IF(G75=0,0,(G75-H75)/G75)</x:f>
        <x:v>0.25</x:v>
      </x:c>
      <x:c r="L75" s="10" t="n">
        <x:v>1</x:v>
      </x:c>
      <x:c r="M75" s="10" t="n">
        <x:v>0.95</x:v>
      </x:c>
      <x:c r="N75" s="10" t="n">
        <x:v>1</x:v>
      </x:c>
      <x:c r="O75" s="7" t="n">
        <x:f>G75*L75*M75*N75</x:f>
        <x:v>1013650</x:v>
      </x:c>
      <x:c r="P75" s="7" t="n">
        <x:v>0</x:v>
      </x:c>
      <x:c r="Q75" s="7" t="n">
        <x:v>14250</x:v>
      </x:c>
      <x:c r="R75" s="7" t="n">
        <x:v>1013650</x:v>
      </x:c>
      <x:c r="S75" s="7" t="n">
        <x:f>ROUND(O75-R75,6)</x:f>
        <x:v>0</x:v>
      </x:c>
    </x:row>
    <x:row r="76" ht="22" customHeight="1">
      <x:c r="A76" s="7" t="str">
        <x:v>PROCESS</x:v>
      </x:c>
      <x:c r="B76" s="7" t="str">
        <x:v>Q3</x:v>
      </x:c>
      <x:c r="C76" s="7" t="str">
        <x:v>P035</x:v>
      </x:c>
      <x:c r="D76" s="7" t="str">
        <x:v>D02</x:v>
      </x:c>
      <x:c r="E76" s="7" t="str">
        <x:v>G06</x:v>
      </x:c>
      <x:c r="F76" s="7" t="str">
        <x:v>华北</x:v>
      </x:c>
      <x:c r="G76" s="7" t="n">
        <x:v>682000</x:v>
      </x:c>
      <x:c r="H76" s="7" t="n">
        <x:v>477400</x:v>
      </x:c>
      <x:c r="I76" s="7" t="n">
        <x:v>122760</x:v>
      </x:c>
      <x:c r="J76" s="7" t="n">
        <x:f>G76-H76-I76</x:f>
        <x:v>81840</x:v>
      </x:c>
      <x:c r="K76" s="10" t="n">
        <x:f>IF(G76=0,0,(G76-H76)/G76)</x:f>
        <x:v>0.3</x:v>
      </x:c>
      <x:c r="L76" s="10" t="n">
        <x:v>0.9</x:v>
      </x:c>
      <x:c r="M76" s="10" t="n">
        <x:v>1.1</x:v>
      </x:c>
      <x:c r="N76" s="10" t="n">
        <x:v>1</x:v>
      </x:c>
      <x:c r="O76" s="7" t="n">
        <x:f>G76*L76*M76*N76</x:f>
        <x:v>675180</x:v>
      </x:c>
      <x:c r="P76" s="7" t="n">
        <x:v>0</x:v>
      </x:c>
      <x:c r="Q76" s="7" t="n">
        <x:v>16335</x:v>
      </x:c>
      <x:c r="R76" s="7" t="n">
        <x:v>675180</x:v>
      </x:c>
      <x:c r="S76" s="7" t="n">
        <x:f>ROUND(O76-R76,6)</x:f>
        <x:v>0</x:v>
      </x:c>
    </x:row>
    <x:row r="77" ht="22" customHeight="1">
      <x:c r="A77" s="7" t="str">
        <x:v>PROCESS</x:v>
      </x:c>
      <x:c r="B77" s="7" t="str">
        <x:v>Q3</x:v>
      </x:c>
      <x:c r="C77" s="7" t="str">
        <x:v>P036</x:v>
      </x:c>
      <x:c r="D77" s="7" t="str">
        <x:v>D02</x:v>
      </x:c>
      <x:c r="E77" s="7" t="str">
        <x:v>G06</x:v>
      </x:c>
      <x:c r="F77" s="7" t="str">
        <x:v>西部</x:v>
      </x:c>
      <x:c r="G77" s="7" t="n">
        <x:v>1474000</x:v>
      </x:c>
      <x:c r="H77" s="7" t="n">
        <x:v>958100</x:v>
      </x:c>
      <x:c r="I77" s="7" t="n">
        <x:v>147400</x:v>
      </x:c>
      <x:c r="J77" s="7" t="n">
        <x:f>G77-H77-I77</x:f>
        <x:v>368500</x:v>
      </x:c>
      <x:c r="K77" s="10" t="n">
        <x:f>IF(G77=0,0,(G77-H77)/G77)</x:f>
        <x:v>0.35</x:v>
      </x:c>
      <x:c r="L77" s="10" t="n">
        <x:v>1.2</x:v>
      </x:c>
      <x:c r="M77" s="10" t="n">
        <x:v>0.95</x:v>
      </x:c>
      <x:c r="N77" s="10" t="n">
        <x:v>1.2</x:v>
      </x:c>
      <x:c r="O77" s="7" t="n">
        <x:f>G77*L77*M77*N77</x:f>
        <x:v>2016432</x:v>
      </x:c>
      <x:c r="P77" s="7" t="n">
        <x:v>0</x:v>
      </x:c>
      <x:c r="Q77" s="7" t="n">
        <x:v>7125</x:v>
      </x:c>
      <x:c r="R77" s="7" t="n">
        <x:v>2016432</x:v>
      </x:c>
      <x:c r="S77" s="7" t="n">
        <x:f>ROUND(O77-R77,6)</x:f>
        <x:v>0</x:v>
      </x:c>
    </x:row>
    <x:row r="78" ht="22" customHeight="1">
      <x:c r="A78" s="7" t="str">
        <x:v>ANNUAL</x:v>
      </x:c>
      <x:c r="B78" s="7" t="str">
        <x:v>FY</x:v>
      </x:c>
      <x:c r="C78" s="7" t="str">
        <x:v>P001</x:v>
      </x:c>
      <x:c r="D78" s="7" t="str">
        <x:v>D01</x:v>
      </x:c>
      <x:c r="E78" s="7" t="str">
        <x:v>G01</x:v>
      </x:c>
      <x:c r="F78" s="7" t="str">
        <x:v>华东</x:v>
      </x:c>
      <x:c r="G78" s="7" t="n">
        <x:v>5976000</x:v>
      </x:c>
      <x:c r="H78" s="7" t="n">
        <x:v>5378400</x:v>
      </x:c>
      <x:c r="I78" s="7" t="n">
        <x:v>358560</x:v>
      </x:c>
      <x:c r="J78" s="7" t="n">
        <x:f>G78-H78-I78</x:f>
        <x:v>239040</x:v>
      </x:c>
      <x:c r="K78" s="10" t="n">
        <x:f>IF(G78=0,0,(G78-H78)/G78)</x:f>
        <x:v>0.1</x:v>
      </x:c>
      <x:c r="L78" s="10" t="n">
        <x:v>1.1</x:v>
      </x:c>
      <x:c r="M78" s="10" t="n">
        <x:v>1.1</x:v>
      </x:c>
      <x:c r="N78" s="10" t="n">
        <x:v>0</x:v>
      </x:c>
      <x:c r="O78" s="7" t="n">
        <x:f>G78*L78*M78*N78</x:f>
        <x:v>0</x:v>
      </x:c>
      <x:c r="P78" s="7" t="n">
        <x:v>2803860</x:v>
      </x:c>
      <x:c r="Q78" s="7" t="n">
        <x:v>0</x:v>
      </x:c>
      <x:c r="R78" s="7" t="n">
        <x:v>0</x:v>
      </x:c>
      <x:c r="S78" s="7" t="n">
        <x:f>ROUND(O78-R78,6)</x:f>
        <x:v>0</x:v>
      </x:c>
    </x:row>
    <x:row r="79" ht="22" customHeight="1">
      <x:c r="A79" s="7" t="str">
        <x:v>ANNUAL</x:v>
      </x:c>
      <x:c r="B79" s="7" t="str">
        <x:v>FY</x:v>
      </x:c>
      <x:c r="C79" s="7" t="str">
        <x:v>P002</x:v>
      </x:c>
      <x:c r="D79" s="7" t="str">
        <x:v>D01</x:v>
      </x:c>
      <x:c r="E79" s="7" t="str">
        <x:v>G01</x:v>
      </x:c>
      <x:c r="F79" s="7" t="str">
        <x:v>华南</x:v>
      </x:c>
      <x:c r="G79" s="7" t="n">
        <x:v>4025500</x:v>
      </x:c>
      <x:c r="H79" s="7" t="n">
        <x:v>3421675</x:v>
      </x:c>
      <x:c r="I79" s="7" t="n">
        <x:v>724590</x:v>
      </x:c>
      <x:c r="J79" s="7" t="n">
        <x:f>G79-H79-I79</x:f>
        <x:v>-120765</x:v>
      </x:c>
      <x:c r="K79" s="10" t="n">
        <x:f>IF(G79=0,0,(G79-H79)/G79)</x:f>
        <x:v>0.15</x:v>
      </x:c>
      <x:c r="L79" s="10" t="n">
        <x:v>1</x:v>
      </x:c>
      <x:c r="M79" s="10" t="n">
        <x:v>0.95</x:v>
      </x:c>
      <x:c r="N79" s="10" t="n">
        <x:v>0.8</x:v>
      </x:c>
      <x:c r="O79" s="7" t="n">
        <x:f>G79*L79*M79*N79</x:f>
        <x:v>3059380</x:v>
      </x:c>
      <x:c r="P79" s="7" t="n">
        <x:v>2126240</x:v>
      </x:c>
      <x:c r="Q79" s="7" t="n">
        <x:v>0</x:v>
      </x:c>
      <x:c r="R79" s="7" t="n">
        <x:v>3059380</x:v>
      </x:c>
      <x:c r="S79" s="7" t="n">
        <x:f>ROUND(O79-R79,6)</x:f>
        <x:v>0</x:v>
      </x:c>
    </x:row>
    <x:row r="80" ht="22" customHeight="1">
      <x:c r="A80" s="7" t="str">
        <x:v>ANNUAL</x:v>
      </x:c>
      <x:c r="B80" s="7" t="str">
        <x:v>FY</x:v>
      </x:c>
      <x:c r="C80" s="7" t="str">
        <x:v>P003</x:v>
      </x:c>
      <x:c r="D80" s="7" t="str">
        <x:v>D01</x:v>
      </x:c>
      <x:c r="E80" s="7" t="str">
        <x:v>G01</x:v>
      </x:c>
      <x:c r="F80" s="7" t="str">
        <x:v>华北</x:v>
      </x:c>
      <x:c r="G80" s="7" t="n">
        <x:v>6266500</x:v>
      </x:c>
      <x:c r="H80" s="7" t="n">
        <x:v>5013200</x:v>
      </x:c>
      <x:c r="I80" s="7" t="n">
        <x:v>626650</x:v>
      </x:c>
      <x:c r="J80" s="7" t="n">
        <x:f>G80-H80-I80</x:f>
        <x:v>626650</x:v>
      </x:c>
      <x:c r="K80" s="10" t="n">
        <x:f>IF(G80=0,0,(G80-H80)/G80)</x:f>
        <x:v>0.2</x:v>
      </x:c>
      <x:c r="L80" s="10" t="n">
        <x:v>0.9</x:v>
      </x:c>
      <x:c r="M80" s="10" t="n">
        <x:v>1.1</x:v>
      </x:c>
      <x:c r="N80" s="10" t="n">
        <x:v>0.8</x:v>
      </x:c>
      <x:c r="O80" s="7" t="n">
        <x:f>G80*L80*M80*N80</x:f>
        <x:v>4963068.000000001</x:v>
      </x:c>
      <x:c r="P80" s="7" t="n">
        <x:v>3157032.5</x:v>
      </x:c>
      <x:c r="Q80" s="7" t="n">
        <x:v>0</x:v>
      </x:c>
      <x:c r="R80" s="7" t="n">
        <x:v>4963068</x:v>
      </x:c>
      <x:c r="S80" s="7" t="n">
        <x:f>ROUND(O80-R80,6)</x:f>
        <x:v>0</x:v>
      </x:c>
    </x:row>
    <x:row r="81" ht="22" customHeight="1">
      <x:c r="A81" s="7" t="str">
        <x:v>ANNUAL</x:v>
      </x:c>
      <x:c r="B81" s="7" t="str">
        <x:v>FY</x:v>
      </x:c>
      <x:c r="C81" s="7" t="str">
        <x:v>P004</x:v>
      </x:c>
      <x:c r="D81" s="7" t="str">
        <x:v>D01</x:v>
      </x:c>
      <x:c r="E81" s="7" t="str">
        <x:v>G01</x:v>
      </x:c>
      <x:c r="F81" s="7" t="str">
        <x:v>西部</x:v>
      </x:c>
      <x:c r="G81" s="7" t="n">
        <x:v>4731000</x:v>
      </x:c>
      <x:c r="H81" s="7" t="n">
        <x:v>3548250</x:v>
      </x:c>
      <x:c r="I81" s="7" t="n">
        <x:v>283860</x:v>
      </x:c>
      <x:c r="J81" s="7" t="n">
        <x:f>G81-H81-I81</x:f>
        <x:v>898890</x:v>
      </x:c>
      <x:c r="K81" s="10" t="n">
        <x:f>IF(G81=0,0,(G81-H81)/G81)</x:f>
        <x:v>0.25</x:v>
      </x:c>
      <x:c r="L81" s="10" t="n">
        <x:v>1.2</x:v>
      </x:c>
      <x:c r="M81" s="10" t="n">
        <x:v>0.95</x:v>
      </x:c>
      <x:c r="N81" s="10" t="n">
        <x:v>1</x:v>
      </x:c>
      <x:c r="O81" s="7" t="n">
        <x:f>G81*L81*M81*N81</x:f>
        <x:v>5393340</x:v>
      </x:c>
      <x:c r="P81" s="7" t="n">
        <x:v>2159872.5</x:v>
      </x:c>
      <x:c r="Q81" s="7" t="n">
        <x:v>0</x:v>
      </x:c>
      <x:c r="R81" s="7" t="n">
        <x:v>5393340</x:v>
      </x:c>
      <x:c r="S81" s="7" t="n">
        <x:f>ROUND(O81-R81,6)</x:f>
        <x:v>0</x:v>
      </x:c>
    </x:row>
    <x:row r="82" ht="22" customHeight="1">
      <x:c r="A82" s="7" t="str">
        <x:v>ANNUAL</x:v>
      </x:c>
      <x:c r="B82" s="7" t="str">
        <x:v>FY</x:v>
      </x:c>
      <x:c r="C82" s="7" t="str">
        <x:v>P005</x:v>
      </x:c>
      <x:c r="D82" s="7" t="str">
        <x:v>D01</x:v>
      </x:c>
      <x:c r="E82" s="7" t="str">
        <x:v>G01</x:v>
      </x:c>
      <x:c r="F82" s="7" t="str">
        <x:v>华东</x:v>
      </x:c>
      <x:c r="G82" s="7" t="n">
        <x:v>3237000</x:v>
      </x:c>
      <x:c r="H82" s="7" t="n">
        <x:v>2265900</x:v>
      </x:c>
      <x:c r="I82" s="7" t="n">
        <x:v>582660</x:v>
      </x:c>
      <x:c r="J82" s="7" t="n">
        <x:f>G82-H82-I82</x:f>
        <x:v>388440</x:v>
      </x:c>
      <x:c r="K82" s="10" t="n">
        <x:f>IF(G82=0,0,(G82-H82)/G82)</x:f>
        <x:v>0.3</x:v>
      </x:c>
      <x:c r="L82" s="10" t="n">
        <x:v>1.1</x:v>
      </x:c>
      <x:c r="M82" s="10" t="n">
        <x:v>1.1</x:v>
      </x:c>
      <x:c r="N82" s="10" t="n">
        <x:v>1</x:v>
      </x:c>
      <x:c r="O82" s="7" t="n">
        <x:f>G82*L82*M82*N82</x:f>
        <x:v>3916770.000000001</x:v>
      </x:c>
      <x:c r="P82" s="7" t="n">
        <x:v>1518757.5</x:v>
      </x:c>
      <x:c r="Q82" s="7" t="n">
        <x:v>0</x:v>
      </x:c>
      <x:c r="R82" s="7" t="n">
        <x:v>3916770</x:v>
      </x:c>
      <x:c r="S82" s="7" t="n">
        <x:f>ROUND(O82-R82,6)</x:f>
        <x:v>0</x:v>
      </x:c>
    </x:row>
    <x:row r="83" ht="22" customHeight="1">
      <x:c r="A83" s="7" t="str">
        <x:v>ANNUAL</x:v>
      </x:c>
      <x:c r="B83" s="7" t="str">
        <x:v>FY</x:v>
      </x:c>
      <x:c r="C83" s="7" t="str">
        <x:v>P006</x:v>
      </x:c>
      <x:c r="D83" s="7" t="str">
        <x:v>D01</x:v>
      </x:c>
      <x:c r="E83" s="7" t="str">
        <x:v>G01</x:v>
      </x:c>
      <x:c r="F83" s="7" t="str">
        <x:v>华南</x:v>
      </x:c>
      <x:c r="G83" s="7" t="n">
        <x:v>4523500</x:v>
      </x:c>
      <x:c r="H83" s="7" t="n">
        <x:v>2940275</x:v>
      </x:c>
      <x:c r="I83" s="7" t="n">
        <x:v>452350</x:v>
      </x:c>
      <x:c r="J83" s="7" t="n">
        <x:f>G83-H83-I83</x:f>
        <x:v>1130875</x:v>
      </x:c>
      <x:c r="K83" s="10" t="n">
        <x:f>IF(G83=0,0,(G83-H83)/G83)</x:f>
        <x:v>0.35</x:v>
      </x:c>
      <x:c r="L83" s="10" t="n">
        <x:v>1</x:v>
      </x:c>
      <x:c r="M83" s="10" t="n">
        <x:v>0.95</x:v>
      </x:c>
      <x:c r="N83" s="10" t="n">
        <x:v>1.2</x:v>
      </x:c>
      <x:c r="O83" s="7" t="n">
        <x:f>G83*L83*M83*N83</x:f>
        <x:v>5156790</x:v>
      </x:c>
      <x:c r="P83" s="7" t="n">
        <x:v>2389280</x:v>
      </x:c>
      <x:c r="Q83" s="7" t="n">
        <x:v>0</x:v>
      </x:c>
      <x:c r="R83" s="7" t="n">
        <x:v>5156790</x:v>
      </x:c>
      <x:c r="S83" s="7" t="n">
        <x:f>ROUND(O83-R83,6)</x:f>
        <x:v>0</x:v>
      </x:c>
    </x:row>
    <x:row r="84" ht="22" customHeight="1">
      <x:c r="A84" s="7" t="str">
        <x:v>ANNUAL</x:v>
      </x:c>
      <x:c r="B84" s="7" t="str">
        <x:v>FY</x:v>
      </x:c>
      <x:c r="C84" s="7" t="str">
        <x:v>P007</x:v>
      </x:c>
      <x:c r="D84" s="7" t="str">
        <x:v>D01</x:v>
      </x:c>
      <x:c r="E84" s="7" t="str">
        <x:v>G02</x:v>
      </x:c>
      <x:c r="F84" s="7" t="str">
        <x:v>华北</x:v>
      </x:c>
      <x:c r="G84" s="7" t="n">
        <x:v>5021500</x:v>
      </x:c>
      <x:c r="H84" s="7" t="n">
        <x:v>4519350</x:v>
      </x:c>
      <x:c r="I84" s="7" t="n">
        <x:v>301290</x:v>
      </x:c>
      <x:c r="J84" s="7" t="n">
        <x:f>G84-H84-I84</x:f>
        <x:v>200860</x:v>
      </x:c>
      <x:c r="K84" s="10" t="n">
        <x:f>IF(G84=0,0,(G84-H84)/G84)</x:f>
        <x:v>0.1</x:v>
      </x:c>
      <x:c r="L84" s="10" t="n">
        <x:v>0.9</x:v>
      </x:c>
      <x:c r="M84" s="10" t="n">
        <x:v>1.1</x:v>
      </x:c>
      <x:c r="N84" s="10" t="n">
        <x:v>0</x:v>
      </x:c>
      <x:c r="O84" s="7" t="n">
        <x:f>G84*L84*M84*N84</x:f>
        <x:v>0</x:v>
      </x:c>
      <x:c r="P84" s="7" t="n">
        <x:v>2529807.5</x:v>
      </x:c>
      <x:c r="Q84" s="7" t="n">
        <x:v>0</x:v>
      </x:c>
      <x:c r="R84" s="7" t="n">
        <x:v>0</x:v>
      </x:c>
      <x:c r="S84" s="7" t="n">
        <x:f>ROUND(O84-R84,6)</x:f>
        <x:v>0</x:v>
      </x:c>
    </x:row>
    <x:row r="85" ht="22" customHeight="1">
      <x:c r="A85" s="7" t="str">
        <x:v>ANNUAL</x:v>
      </x:c>
      <x:c r="B85" s="7" t="str">
        <x:v>FY</x:v>
      </x:c>
      <x:c r="C85" s="7" t="str">
        <x:v>P008</x:v>
      </x:c>
      <x:c r="D85" s="7" t="str">
        <x:v>D01</x:v>
      </x:c>
      <x:c r="E85" s="7" t="str">
        <x:v>G02</x:v>
      </x:c>
      <x:c r="F85" s="7" t="str">
        <x:v>西部</x:v>
      </x:c>
      <x:c r="G85" s="7" t="n">
        <x:v>6308000</x:v>
      </x:c>
      <x:c r="H85" s="7" t="n">
        <x:v>5361800</x:v>
      </x:c>
      <x:c r="I85" s="7" t="n">
        <x:v>1135440</x:v>
      </x:c>
      <x:c r="J85" s="7" t="n">
        <x:f>G85-H85-I85</x:f>
        <x:v>-189240</x:v>
      </x:c>
      <x:c r="K85" s="10" t="n">
        <x:f>IF(G85=0,0,(G85-H85)/G85)</x:f>
        <x:v>0.15</x:v>
      </x:c>
      <x:c r="L85" s="10" t="n">
        <x:v>1.2</x:v>
      </x:c>
      <x:c r="M85" s="10" t="n">
        <x:v>0.95</x:v>
      </x:c>
      <x:c r="N85" s="10" t="n">
        <x:v>0.8</x:v>
      </x:c>
      <x:c r="O85" s="7" t="n">
        <x:f>G85*L85*M85*N85</x:f>
        <x:v>5752896</x:v>
      </x:c>
      <x:c r="P85" s="7" t="n">
        <x:v>2879830</x:v>
      </x:c>
      <x:c r="Q85" s="7" t="n">
        <x:v>0</x:v>
      </x:c>
      <x:c r="R85" s="7" t="n">
        <x:v>5752896</x:v>
      </x:c>
      <x:c r="S85" s="7" t="n">
        <x:f>ROUND(O85-R85,6)</x:f>
        <x:v>0</x:v>
      </x:c>
    </x:row>
    <x:row r="86" ht="22" customHeight="1">
      <x:c r="A86" s="7" t="str">
        <x:v>ANNUAL</x:v>
      </x:c>
      <x:c r="B86" s="7" t="str">
        <x:v>FY</x:v>
      </x:c>
      <x:c r="C86" s="7" t="str">
        <x:v>P009</x:v>
      </x:c>
      <x:c r="D86" s="7" t="str">
        <x:v>D01</x:v>
      </x:c>
      <x:c r="E86" s="7" t="str">
        <x:v>G02</x:v>
      </x:c>
      <x:c r="F86" s="7" t="str">
        <x:v>华东</x:v>
      </x:c>
      <x:c r="G86" s="7" t="n">
        <x:v>2656000</x:v>
      </x:c>
      <x:c r="H86" s="7" t="n">
        <x:v>2124800</x:v>
      </x:c>
      <x:c r="I86" s="7" t="n">
        <x:v>265600</x:v>
      </x:c>
      <x:c r="J86" s="7" t="n">
        <x:f>G86-H86-I86</x:f>
        <x:v>265600</x:v>
      </x:c>
      <x:c r="K86" s="10" t="n">
        <x:f>IF(G86=0,0,(G86-H86)/G86)</x:f>
        <x:v>0.2</x:v>
      </x:c>
      <x:c r="L86" s="10" t="n">
        <x:v>1.1</x:v>
      </x:c>
      <x:c r="M86" s="10" t="n">
        <x:v>1.1</x:v>
      </x:c>
      <x:c r="N86" s="10" t="n">
        <x:v>0.8</x:v>
      </x:c>
      <x:c r="O86" s="7" t="n">
        <x:f>G86*L86*M86*N86</x:f>
        <x:v>2571008.000000001</x:v>
      </x:c>
      <x:c r="P86" s="7" t="n">
        <x:v>1246160</x:v>
      </x:c>
      <x:c r="Q86" s="7" t="n">
        <x:v>0</x:v>
      </x:c>
      <x:c r="R86" s="7" t="n">
        <x:v>2571008</x:v>
      </x:c>
      <x:c r="S86" s="7" t="n">
        <x:f>ROUND(O86-R86,6)</x:f>
        <x:v>0</x:v>
      </x:c>
    </x:row>
    <x:row r="87" ht="22" customHeight="1">
      <x:c r="A87" s="7" t="str">
        <x:v>ANNUAL</x:v>
      </x:c>
      <x:c r="B87" s="7" t="str">
        <x:v>FY</x:v>
      </x:c>
      <x:c r="C87" s="7" t="str">
        <x:v>P010</x:v>
      </x:c>
      <x:c r="D87" s="7" t="str">
        <x:v>D01</x:v>
      </x:c>
      <x:c r="E87" s="7" t="str">
        <x:v>G02</x:v>
      </x:c>
      <x:c r="F87" s="7" t="str">
        <x:v>华南</x:v>
      </x:c>
      <x:c r="G87" s="7" t="n">
        <x:v>6640000</x:v>
      </x:c>
      <x:c r="H87" s="7" t="n">
        <x:v>4980000</x:v>
      </x:c>
      <x:c r="I87" s="7" t="n">
        <x:v>398400</x:v>
      </x:c>
      <x:c r="J87" s="7" t="n">
        <x:f>G87-H87-I87</x:f>
        <x:v>1261600</x:v>
      </x:c>
      <x:c r="K87" s="10" t="n">
        <x:f>IF(G87=0,0,(G87-H87)/G87)</x:f>
        <x:v>0.25</x:v>
      </x:c>
      <x:c r="L87" s="10" t="n">
        <x:v>1</x:v>
      </x:c>
      <x:c r="M87" s="10" t="n">
        <x:v>0.95</x:v>
      </x:c>
      <x:c r="N87" s="10" t="n">
        <x:v>1</x:v>
      </x:c>
      <x:c r="O87" s="7" t="n">
        <x:f>G87*L87*M87*N87</x:f>
        <x:v>6308000</x:v>
      </x:c>
      <x:c r="P87" s="7" t="n">
        <x:v>3507200</x:v>
      </x:c>
      <x:c r="Q87" s="7" t="n">
        <x:v>0</x:v>
      </x:c>
      <x:c r="R87" s="7" t="n">
        <x:v>6308000</x:v>
      </x:c>
      <x:c r="S87" s="7" t="n">
        <x:f>ROUND(O87-R87,6)</x:f>
        <x:v>0</x:v>
      </x:c>
    </x:row>
    <x:row r="88" ht="22" customHeight="1">
      <x:c r="A88" s="7" t="str">
        <x:v>ANNUAL</x:v>
      </x:c>
      <x:c r="B88" s="7" t="str">
        <x:v>FY</x:v>
      </x:c>
      <x:c r="C88" s="7" t="str">
        <x:v>P011</x:v>
      </x:c>
      <x:c r="D88" s="7" t="str">
        <x:v>D01</x:v>
      </x:c>
      <x:c r="E88" s="7" t="str">
        <x:v>G02</x:v>
      </x:c>
      <x:c r="F88" s="7" t="str">
        <x:v>华北</x:v>
      </x:c>
      <x:c r="G88" s="7" t="n">
        <x:v>5270500</x:v>
      </x:c>
      <x:c r="H88" s="7" t="n">
        <x:v>3689350</x:v>
      </x:c>
      <x:c r="I88" s="7" t="n">
        <x:v>948690</x:v>
      </x:c>
      <x:c r="J88" s="7" t="n">
        <x:f>G88-H88-I88</x:f>
        <x:v>632460</x:v>
      </x:c>
      <x:c r="K88" s="10" t="n">
        <x:f>IF(G88=0,0,(G88-H88)/G88)</x:f>
        <x:v>0.3</x:v>
      </x:c>
      <x:c r="L88" s="10" t="n">
        <x:v>0.9</x:v>
      </x:c>
      <x:c r="M88" s="10" t="n">
        <x:v>1.1</x:v>
      </x:c>
      <x:c r="N88" s="10" t="n">
        <x:v>1</x:v>
      </x:c>
      <x:c r="O88" s="7" t="n">
        <x:f>G88*L88*M88*N88</x:f>
        <x:v>5217795</x:v>
      </x:c>
      <x:c r="P88" s="7" t="n">
        <x:v>2655252.5</x:v>
      </x:c>
      <x:c r="Q88" s="7" t="n">
        <x:v>0</x:v>
      </x:c>
      <x:c r="R88" s="7" t="n">
        <x:v>5217795</x:v>
      </x:c>
      <x:c r="S88" s="7" t="n">
        <x:f>ROUND(O88-R88,6)</x:f>
        <x:v>0</x:v>
      </x:c>
    </x:row>
    <x:row r="89" ht="22" customHeight="1">
      <x:c r="A89" s="7" t="str">
        <x:v>ANNUAL</x:v>
      </x:c>
      <x:c r="B89" s="7" t="str">
        <x:v>FY</x:v>
      </x:c>
      <x:c r="C89" s="7" t="str">
        <x:v>P012</x:v>
      </x:c>
      <x:c r="D89" s="7" t="str">
        <x:v>D01</x:v>
      </x:c>
      <x:c r="E89" s="7" t="str">
        <x:v>G02</x:v>
      </x:c>
      <x:c r="F89" s="7" t="str">
        <x:v>西部</x:v>
      </x:c>
      <x:c r="G89" s="7" t="n">
        <x:v>2863500</x:v>
      </x:c>
      <x:c r="H89" s="7" t="n">
        <x:v>1861275</x:v>
      </x:c>
      <x:c r="I89" s="7" t="n">
        <x:v>286350</x:v>
      </x:c>
      <x:c r="J89" s="7" t="n">
        <x:f>G89-H89-I89</x:f>
        <x:v>715875</x:v>
      </x:c>
      <x:c r="K89" s="10" t="n">
        <x:f>IF(G89=0,0,(G89-H89)/G89)</x:f>
        <x:v>0.35</x:v>
      </x:c>
      <x:c r="L89" s="10" t="n">
        <x:v>1.2</x:v>
      </x:c>
      <x:c r="M89" s="10" t="n">
        <x:v>0.95</x:v>
      </x:c>
      <x:c r="N89" s="10" t="n">
        <x:v>1.2</x:v>
      </x:c>
      <x:c r="O89" s="7" t="n">
        <x:f>G89*L89*M89*N89</x:f>
        <x:v>3917268</x:v>
      </x:c>
      <x:c r="P89" s="7" t="n">
        <x:v>1307291.25</x:v>
      </x:c>
      <x:c r="Q89" s="7" t="n">
        <x:v>0</x:v>
      </x:c>
      <x:c r="R89" s="7" t="n">
        <x:v>3917268</x:v>
      </x:c>
      <x:c r="S89" s="7" t="n">
        <x:f>ROUND(O89-R89,6)</x:f>
        <x:v>0</x:v>
      </x:c>
    </x:row>
    <x:row r="90" ht="22" customHeight="1">
      <x:c r="A90" s="7" t="str">
        <x:v>ANNUAL</x:v>
      </x:c>
      <x:c r="B90" s="7" t="str">
        <x:v>FY</x:v>
      </x:c>
      <x:c r="C90" s="7" t="str">
        <x:v>P013</x:v>
      </x:c>
      <x:c r="D90" s="7" t="str">
        <x:v>D01</x:v>
      </x:c>
      <x:c r="E90" s="7" t="str">
        <x:v>G03</x:v>
      </x:c>
      <x:c r="F90" s="7" t="str">
        <x:v>华东</x:v>
      </x:c>
      <x:c r="G90" s="7" t="n">
        <x:v>2075000</x:v>
      </x:c>
      <x:c r="H90" s="7" t="n">
        <x:v>1867500</x:v>
      </x:c>
      <x:c r="I90" s="7" t="n">
        <x:v>124500</x:v>
      </x:c>
      <x:c r="J90" s="7" t="n">
        <x:f>G90-H90-I90</x:f>
        <x:v>83000</x:v>
      </x:c>
      <x:c r="K90" s="10" t="n">
        <x:f>IF(G90=0,0,(G90-H90)/G90)</x:f>
        <x:v>0.1</x:v>
      </x:c>
      <x:c r="L90" s="10" t="n">
        <x:v>1.1</x:v>
      </x:c>
      <x:c r="M90" s="10" t="n">
        <x:v>1.1</x:v>
      </x:c>
      <x:c r="N90" s="10" t="n">
        <x:v>0</x:v>
      </x:c>
      <x:c r="O90" s="7" t="n">
        <x:f>G90*L90*M90*N90</x:f>
        <x:v>0</x:v>
      </x:c>
      <x:c r="P90" s="7" t="n">
        <x:v>973562.5</x:v>
      </x:c>
      <x:c r="Q90" s="7" t="n">
        <x:v>0</x:v>
      </x:c>
      <x:c r="R90" s="7" t="n">
        <x:v>0</x:v>
      </x:c>
      <x:c r="S90" s="7" t="n">
        <x:f>ROUND(O90-R90,6)</x:f>
        <x:v>0</x:v>
      </x:c>
    </x:row>
    <x:row r="91" ht="22" customHeight="1">
      <x:c r="A91" s="7" t="str">
        <x:v>ANNUAL</x:v>
      </x:c>
      <x:c r="B91" s="7" t="str">
        <x:v>FY</x:v>
      </x:c>
      <x:c r="C91" s="7" t="str">
        <x:v>P014</x:v>
      </x:c>
      <x:c r="D91" s="7" t="str">
        <x:v>D01</x:v>
      </x:c>
      <x:c r="E91" s="7" t="str">
        <x:v>G03</x:v>
      </x:c>
      <x:c r="F91" s="7" t="str">
        <x:v>华南</x:v>
      </x:c>
      <x:c r="G91" s="7" t="n">
        <x:v>2614500</x:v>
      </x:c>
      <x:c r="H91" s="7" t="n">
        <x:v>2222325</x:v>
      </x:c>
      <x:c r="I91" s="7" t="n">
        <x:v>470610</x:v>
      </x:c>
      <x:c r="J91" s="7" t="n">
        <x:f>G91-H91-I91</x:f>
        <x:v>-78435</x:v>
      </x:c>
      <x:c r="K91" s="10" t="n">
        <x:f>IF(G91=0,0,(G91-H91)/G91)</x:f>
        <x:v>0.15</x:v>
      </x:c>
      <x:c r="L91" s="10" t="n">
        <x:v>1</x:v>
      </x:c>
      <x:c r="M91" s="10" t="n">
        <x:v>0.95</x:v>
      </x:c>
      <x:c r="N91" s="10" t="n">
        <x:v>0.8</x:v>
      </x:c>
      <x:c r="O91" s="7" t="n">
        <x:f>G91*L91*M91*N91</x:f>
        <x:v>1987020</x:v>
      </x:c>
      <x:c r="P91" s="7" t="n">
        <x:v>1380960</x:v>
      </x:c>
      <x:c r="Q91" s="7" t="n">
        <x:v>0</x:v>
      </x:c>
      <x:c r="R91" s="7" t="n">
        <x:v>1987020</x:v>
      </x:c>
      <x:c r="S91" s="7" t="n">
        <x:f>ROUND(O91-R91,6)</x:f>
        <x:v>0</x:v>
      </x:c>
    </x:row>
    <x:row r="92" ht="22" customHeight="1">
      <x:c r="A92" s="7" t="str">
        <x:v>ANNUAL</x:v>
      </x:c>
      <x:c r="B92" s="7" t="str">
        <x:v>FY</x:v>
      </x:c>
      <x:c r="C92" s="7" t="str">
        <x:v>P015</x:v>
      </x:c>
      <x:c r="D92" s="7" t="str">
        <x:v>D01</x:v>
      </x:c>
      <x:c r="E92" s="7" t="str">
        <x:v>G03</x:v>
      </x:c>
      <x:c r="F92" s="7" t="str">
        <x:v>华北</x:v>
      </x:c>
      <x:c r="G92" s="7" t="n">
        <x:v>4565000</x:v>
      </x:c>
      <x:c r="H92" s="7" t="n">
        <x:v>3652000</x:v>
      </x:c>
      <x:c r="I92" s="7" t="n">
        <x:v>456500</x:v>
      </x:c>
      <x:c r="J92" s="7" t="n">
        <x:f>G92-H92-I92</x:f>
        <x:v>456500</x:v>
      </x:c>
      <x:c r="K92" s="10" t="n">
        <x:f>IF(G92=0,0,(G92-H92)/G92)</x:f>
        <x:v>0.2</x:v>
      </x:c>
      <x:c r="L92" s="10" t="n">
        <x:v>0.9</x:v>
      </x:c>
      <x:c r="M92" s="10" t="n">
        <x:v>1.1</x:v>
      </x:c>
      <x:c r="N92" s="10" t="n">
        <x:v>0.8</x:v>
      </x:c>
      <x:c r="O92" s="7" t="n">
        <x:f>G92*L92*M92*N92</x:f>
        <x:v>3615480</x:v>
      </x:c>
      <x:c r="P92" s="7" t="n">
        <x:v>2299825</x:v>
      </x:c>
      <x:c r="Q92" s="7" t="n">
        <x:v>0</x:v>
      </x:c>
      <x:c r="R92" s="7" t="n">
        <x:v>3615480</x:v>
      </x:c>
      <x:c r="S92" s="7" t="n">
        <x:f>ROUND(O92-R92,6)</x:f>
        <x:v>0</x:v>
      </x:c>
    </x:row>
    <x:row r="93" ht="22" customHeight="1">
      <x:c r="A93" s="7" t="str">
        <x:v>ANNUAL</x:v>
      </x:c>
      <x:c r="B93" s="7" t="str">
        <x:v>FY</x:v>
      </x:c>
      <x:c r="C93" s="7" t="str">
        <x:v>P016</x:v>
      </x:c>
      <x:c r="D93" s="7" t="str">
        <x:v>D01</x:v>
      </x:c>
      <x:c r="E93" s="7" t="str">
        <x:v>G03</x:v>
      </x:c>
      <x:c r="F93" s="7" t="str">
        <x:v>西部</x:v>
      </x:c>
      <x:c r="G93" s="7" t="n">
        <x:v>6349500</x:v>
      </x:c>
      <x:c r="H93" s="7" t="n">
        <x:v>4762125</x:v>
      </x:c>
      <x:c r="I93" s="7" t="n">
        <x:v>380970</x:v>
      </x:c>
      <x:c r="J93" s="7" t="n">
        <x:f>G93-H93-I93</x:f>
        <x:v>1206405</x:v>
      </x:c>
      <x:c r="K93" s="10" t="n">
        <x:f>IF(G93=0,0,(G93-H93)/G93)</x:f>
        <x:v>0.25</x:v>
      </x:c>
      <x:c r="L93" s="10" t="n">
        <x:v>1.2</x:v>
      </x:c>
      <x:c r="M93" s="10" t="n">
        <x:v>0.95</x:v>
      </x:c>
      <x:c r="N93" s="10" t="n">
        <x:v>1</x:v>
      </x:c>
      <x:c r="O93" s="7" t="n">
        <x:f>G93*L93*M93*N93</x:f>
        <x:v>7238430</x:v>
      </x:c>
      <x:c r="P93" s="7" t="n">
        <x:v>2898776.25</x:v>
      </x:c>
      <x:c r="Q93" s="7" t="n">
        <x:v>0</x:v>
      </x:c>
      <x:c r="R93" s="7" t="n">
        <x:v>7238430</x:v>
      </x:c>
      <x:c r="S93" s="7" t="n">
        <x:f>ROUND(O93-R93,6)</x:f>
        <x:v>0</x:v>
      </x:c>
    </x:row>
    <x:row r="94" ht="22" customHeight="1">
      <x:c r="A94" s="7" t="str">
        <x:v>ANNUAL</x:v>
      </x:c>
      <x:c r="B94" s="7" t="str">
        <x:v>FY</x:v>
      </x:c>
      <x:c r="C94" s="7" t="str">
        <x:v>P017</x:v>
      </x:c>
      <x:c r="D94" s="7" t="str">
        <x:v>D01</x:v>
      </x:c>
      <x:c r="E94" s="7" t="str">
        <x:v>G03</x:v>
      </x:c>
      <x:c r="F94" s="7" t="str">
        <x:v>华东</x:v>
      </x:c>
      <x:c r="G94" s="7" t="n">
        <x:v>3444500</x:v>
      </x:c>
      <x:c r="H94" s="7" t="n">
        <x:v>2411150</x:v>
      </x:c>
      <x:c r="I94" s="7" t="n">
        <x:v>620010</x:v>
      </x:c>
      <x:c r="J94" s="7" t="n">
        <x:f>G94-H94-I94</x:f>
        <x:v>413340</x:v>
      </x:c>
      <x:c r="K94" s="10" t="n">
        <x:f>IF(G94=0,0,(G94-H94)/G94)</x:f>
        <x:v>0.3</x:v>
      </x:c>
      <x:c r="L94" s="10" t="n">
        <x:v>1.1</x:v>
      </x:c>
      <x:c r="M94" s="10" t="n">
        <x:v>1.1</x:v>
      </x:c>
      <x:c r="N94" s="10" t="n">
        <x:v>1</x:v>
      </x:c>
      <x:c r="O94" s="7" t="n">
        <x:f>G94*L94*M94*N94</x:f>
        <x:v>4167845.000000001</x:v>
      </x:c>
      <x:c r="P94" s="7" t="n">
        <x:v>1616113.75</x:v>
      </x:c>
      <x:c r="Q94" s="7" t="n">
        <x:v>0</x:v>
      </x:c>
      <x:c r="R94" s="7" t="n">
        <x:v>4167845</x:v>
      </x:c>
      <x:c r="S94" s="7" t="n">
        <x:f>ROUND(O94-R94,6)</x:f>
        <x:v>0</x:v>
      </x:c>
    </x:row>
    <x:row r="95" ht="22" customHeight="1">
      <x:c r="A95" s="7" t="str">
        <x:v>ANNUAL</x:v>
      </x:c>
      <x:c r="B95" s="7" t="str">
        <x:v>FY</x:v>
      </x:c>
      <x:c r="C95" s="7" t="str">
        <x:v>P018</x:v>
      </x:c>
      <x:c r="D95" s="7" t="str">
        <x:v>D01</x:v>
      </x:c>
      <x:c r="E95" s="7" t="str">
        <x:v>G03</x:v>
      </x:c>
      <x:c r="F95" s="7" t="str">
        <x:v>华南</x:v>
      </x:c>
      <x:c r="G95" s="7" t="n">
        <x:v>5146000</x:v>
      </x:c>
      <x:c r="H95" s="7" t="n">
        <x:v>3344900</x:v>
      </x:c>
      <x:c r="I95" s="7" t="n">
        <x:v>514600</x:v>
      </x:c>
      <x:c r="J95" s="7" t="n">
        <x:f>G95-H95-I95</x:f>
        <x:v>1286500</x:v>
      </x:c>
      <x:c r="K95" s="10" t="n">
        <x:f>IF(G95=0,0,(G95-H95)/G95)</x:f>
        <x:v>0.35</x:v>
      </x:c>
      <x:c r="L95" s="10" t="n">
        <x:v>1</x:v>
      </x:c>
      <x:c r="M95" s="10" t="n">
        <x:v>0.95</x:v>
      </x:c>
      <x:c r="N95" s="10" t="n">
        <x:v>1.2</x:v>
      </x:c>
      <x:c r="O95" s="7" t="n">
        <x:f>G95*L95*M95*N95</x:f>
        <x:v>5866440</x:v>
      </x:c>
      <x:c r="P95" s="7" t="n">
        <x:v>2718080</x:v>
      </x:c>
      <x:c r="Q95" s="7" t="n">
        <x:v>0</x:v>
      </x:c>
      <x:c r="R95" s="7" t="n">
        <x:v>5866440</x:v>
      </x:c>
      <x:c r="S95" s="7" t="n">
        <x:f>ROUND(O95-R95,6)</x:f>
        <x:v>0</x:v>
      </x:c>
    </x:row>
    <x:row r="96" ht="22" customHeight="1">
      <x:c r="A96" s="7" t="str">
        <x:v>ANNUAL</x:v>
      </x:c>
      <x:c r="B96" s="7" t="str">
        <x:v>FY</x:v>
      </x:c>
      <x:c r="C96" s="7" t="str">
        <x:v>P019</x:v>
      </x:c>
      <x:c r="D96" s="7" t="str">
        <x:v>D02</x:v>
      </x:c>
      <x:c r="E96" s="7" t="str">
        <x:v>G04</x:v>
      </x:c>
      <x:c r="F96" s="7" t="str">
        <x:v>华北</x:v>
      </x:c>
      <x:c r="G96" s="7" t="n">
        <x:v>5561000</x:v>
      </x:c>
      <x:c r="H96" s="7" t="n">
        <x:v>5004900</x:v>
      </x:c>
      <x:c r="I96" s="7" t="n">
        <x:v>333660</x:v>
      </x:c>
      <x:c r="J96" s="7" t="n">
        <x:f>G96-H96-I96</x:f>
        <x:v>222440</x:v>
      </x:c>
      <x:c r="K96" s="10" t="n">
        <x:f>IF(G96=0,0,(G96-H96)/G96)</x:f>
        <x:v>0.1</x:v>
      </x:c>
      <x:c r="L96" s="10" t="n">
        <x:v>0.9</x:v>
      </x:c>
      <x:c r="M96" s="10" t="n">
        <x:v>1.1</x:v>
      </x:c>
      <x:c r="N96" s="10" t="n">
        <x:v>0</x:v>
      </x:c>
      <x:c r="O96" s="7" t="n">
        <x:f>G96*L96*M96*N96</x:f>
        <x:v>0</x:v>
      </x:c>
      <x:c r="P96" s="7" t="n">
        <x:v>2801605</x:v>
      </x:c>
      <x:c r="Q96" s="7" t="n">
        <x:v>0</x:v>
      </x:c>
      <x:c r="R96" s="7" t="n">
        <x:v>0</x:v>
      </x:c>
      <x:c r="S96" s="7" t="n">
        <x:f>ROUND(O96-R96,6)</x:f>
        <x:v>0</x:v>
      </x:c>
    </x:row>
    <x:row r="97" ht="22" customHeight="1">
      <x:c r="A97" s="7" t="str">
        <x:v>ANNUAL</x:v>
      </x:c>
      <x:c r="B97" s="7" t="str">
        <x:v>FY</x:v>
      </x:c>
      <x:c r="C97" s="7" t="str">
        <x:v>P020</x:v>
      </x:c>
      <x:c r="D97" s="7" t="str">
        <x:v>D02</x:v>
      </x:c>
      <x:c r="E97" s="7" t="str">
        <x:v>G04</x:v>
      </x:c>
      <x:c r="F97" s="7" t="str">
        <x:v>西部</x:v>
      </x:c>
      <x:c r="G97" s="7" t="n">
        <x:v>4772500</x:v>
      </x:c>
      <x:c r="H97" s="7" t="n">
        <x:v>4056625</x:v>
      </x:c>
      <x:c r="I97" s="7" t="n">
        <x:v>859050</x:v>
      </x:c>
      <x:c r="J97" s="7" t="n">
        <x:f>G97-H97-I97</x:f>
        <x:v>-143175</x:v>
      </x:c>
      <x:c r="K97" s="10" t="n">
        <x:f>IF(G97=0,0,(G97-H97)/G97)</x:f>
        <x:v>0.15</x:v>
      </x:c>
      <x:c r="L97" s="10" t="n">
        <x:v>1.2</x:v>
      </x:c>
      <x:c r="M97" s="10" t="n">
        <x:v>0.95</x:v>
      </x:c>
      <x:c r="N97" s="10" t="n">
        <x:v>0.8</x:v>
      </x:c>
      <x:c r="O97" s="7" t="n">
        <x:f>G97*L97*M97*N97</x:f>
        <x:v>4352520</x:v>
      </x:c>
      <x:c r="P97" s="7" t="n">
        <x:v>2178818.75</x:v>
      </x:c>
      <x:c r="Q97" s="7" t="n">
        <x:v>0</x:v>
      </x:c>
      <x:c r="R97" s="7" t="n">
        <x:v>4352520</x:v>
      </x:c>
      <x:c r="S97" s="7" t="n">
        <x:f>ROUND(O97-R97,6)</x:f>
        <x:v>0</x:v>
      </x:c>
    </x:row>
    <x:row r="98" ht="22" customHeight="1">
      <x:c r="A98" s="7" t="str">
        <x:v>ANNUAL</x:v>
      </x:c>
      <x:c r="B98" s="7" t="str">
        <x:v>FY</x:v>
      </x:c>
      <x:c r="C98" s="7" t="str">
        <x:v>P021</x:v>
      </x:c>
      <x:c r="D98" s="7" t="str">
        <x:v>D02</x:v>
      </x:c>
      <x:c r="E98" s="7" t="str">
        <x:v>G04</x:v>
      </x:c>
      <x:c r="F98" s="7" t="str">
        <x:v>华东</x:v>
      </x:c>
      <x:c r="G98" s="7" t="n">
        <x:v>5270500</x:v>
      </x:c>
      <x:c r="H98" s="7" t="n">
        <x:v>4216400</x:v>
      </x:c>
      <x:c r="I98" s="7" t="n">
        <x:v>527050</x:v>
      </x:c>
      <x:c r="J98" s="7" t="n">
        <x:f>G98-H98-I98</x:f>
        <x:v>527050</x:v>
      </x:c>
      <x:c r="K98" s="10" t="n">
        <x:f>IF(G98=0,0,(G98-H98)/G98)</x:f>
        <x:v>0.2</x:v>
      </x:c>
      <x:c r="L98" s="10" t="n">
        <x:v>1.1</x:v>
      </x:c>
      <x:c r="M98" s="10" t="n">
        <x:v>1.1</x:v>
      </x:c>
      <x:c r="N98" s="10" t="n">
        <x:v>0.8</x:v>
      </x:c>
      <x:c r="O98" s="7" t="n">
        <x:f>G98*L98*M98*N98</x:f>
        <x:v>5101844.000000002</x:v>
      </x:c>
      <x:c r="P98" s="7" t="n">
        <x:v>2472848.75</x:v>
      </x:c>
      <x:c r="Q98" s="7" t="n">
        <x:v>0</x:v>
      </x:c>
      <x:c r="R98" s="7" t="n">
        <x:v>5101844</x:v>
      </x:c>
      <x:c r="S98" s="7" t="n">
        <x:f>ROUND(O98-R98,6)</x:f>
        <x:v>0</x:v>
      </x:c>
    </x:row>
    <x:row r="99" ht="22" customHeight="1">
      <x:c r="A99" s="7" t="str">
        <x:v>ANNUAL</x:v>
      </x:c>
      <x:c r="B99" s="7" t="str">
        <x:v>FY</x:v>
      </x:c>
      <x:c r="C99" s="7" t="str">
        <x:v>P022</x:v>
      </x:c>
      <x:c r="D99" s="7" t="str">
        <x:v>D02</x:v>
      </x:c>
      <x:c r="E99" s="7" t="str">
        <x:v>G04</x:v>
      </x:c>
      <x:c r="F99" s="7" t="str">
        <x:v>华南</x:v>
      </x:c>
      <x:c r="G99" s="7" t="n">
        <x:v>4399000</x:v>
      </x:c>
      <x:c r="H99" s="7" t="n">
        <x:v>3299250</x:v>
      </x:c>
      <x:c r="I99" s="7" t="n">
        <x:v>263940</x:v>
      </x:c>
      <x:c r="J99" s="7" t="n">
        <x:f>G99-H99-I99</x:f>
        <x:v>835810</x:v>
      </x:c>
      <x:c r="K99" s="10" t="n">
        <x:f>IF(G99=0,0,(G99-H99)/G99)</x:f>
        <x:v>0.25</x:v>
      </x:c>
      <x:c r="L99" s="10" t="n">
        <x:v>1</x:v>
      </x:c>
      <x:c r="M99" s="10" t="n">
        <x:v>0.95</x:v>
      </x:c>
      <x:c r="N99" s="10" t="n">
        <x:v>1</x:v>
      </x:c>
      <x:c r="O99" s="7" t="n">
        <x:f>G99*L99*M99*N99</x:f>
        <x:v>4179050</x:v>
      </x:c>
      <x:c r="P99" s="7" t="n">
        <x:v>2323520</x:v>
      </x:c>
      <x:c r="Q99" s="7" t="n">
        <x:v>0</x:v>
      </x:c>
      <x:c r="R99" s="7" t="n">
        <x:v>4179050</x:v>
      </x:c>
      <x:c r="S99" s="7" t="n">
        <x:f>ROUND(O99-R99,6)</x:f>
        <x:v>0</x:v>
      </x:c>
    </x:row>
    <x:row r="100" ht="22" customHeight="1">
      <x:c r="A100" s="7" t="str">
        <x:v>ANNUAL</x:v>
      </x:c>
      <x:c r="B100" s="7" t="str">
        <x:v>FY</x:v>
      </x:c>
      <x:c r="C100" s="7" t="str">
        <x:v>P023</x:v>
      </x:c>
      <x:c r="D100" s="7" t="str">
        <x:v>D02</x:v>
      </x:c>
      <x:c r="E100" s="7" t="str">
        <x:v>G04</x:v>
      </x:c>
      <x:c r="F100" s="7" t="str">
        <x:v>华北</x:v>
      </x:c>
      <x:c r="G100" s="7" t="n">
        <x:v>4025500</x:v>
      </x:c>
      <x:c r="H100" s="7" t="n">
        <x:v>2817850</x:v>
      </x:c>
      <x:c r="I100" s="7" t="n">
        <x:v>724590</x:v>
      </x:c>
      <x:c r="J100" s="7" t="n">
        <x:f>G100-H100-I100</x:f>
        <x:v>483060</x:v>
      </x:c>
      <x:c r="K100" s="10" t="n">
        <x:f>IF(G100=0,0,(G100-H100)/G100)</x:f>
        <x:v>0.3</x:v>
      </x:c>
      <x:c r="L100" s="10" t="n">
        <x:v>0.9</x:v>
      </x:c>
      <x:c r="M100" s="10" t="n">
        <x:v>1.1</x:v>
      </x:c>
      <x:c r="N100" s="10" t="n">
        <x:v>1</x:v>
      </x:c>
      <x:c r="O100" s="7" t="n">
        <x:f>G100*L100*M100*N100</x:f>
        <x:v>3985245.0000000005</x:v>
      </x:c>
      <x:c r="P100" s="7" t="n">
        <x:v>2028027.5</x:v>
      </x:c>
      <x:c r="Q100" s="7" t="n">
        <x:v>0</x:v>
      </x:c>
      <x:c r="R100" s="7" t="n">
        <x:v>3985245</x:v>
      </x:c>
      <x:c r="S100" s="7" t="n">
        <x:f>ROUND(O100-R100,6)</x:f>
        <x:v>0</x:v>
      </x:c>
    </x:row>
    <x:row r="101" ht="22" customHeight="1">
      <x:c r="A101" s="7" t="str">
        <x:v>ANNUAL</x:v>
      </x:c>
      <x:c r="B101" s="7" t="str">
        <x:v>FY</x:v>
      </x:c>
      <x:c r="C101" s="7" t="str">
        <x:v>P024</x:v>
      </x:c>
      <x:c r="D101" s="7" t="str">
        <x:v>D02</x:v>
      </x:c>
      <x:c r="E101" s="7" t="str">
        <x:v>G04</x:v>
      </x:c>
      <x:c r="F101" s="7" t="str">
        <x:v>西部</x:v>
      </x:c>
      <x:c r="G101" s="7" t="n">
        <x:v>4108500</x:v>
      </x:c>
      <x:c r="H101" s="7" t="n">
        <x:v>2670525</x:v>
      </x:c>
      <x:c r="I101" s="7" t="n">
        <x:v>410850</x:v>
      </x:c>
      <x:c r="J101" s="7" t="n">
        <x:f>G101-H101-I101</x:f>
        <x:v>1027125</x:v>
      </x:c>
      <x:c r="K101" s="10" t="n">
        <x:f>IF(G101=0,0,(G101-H101)/G101)</x:f>
        <x:v>0.35</x:v>
      </x:c>
      <x:c r="L101" s="10" t="n">
        <x:v>1.2</x:v>
      </x:c>
      <x:c r="M101" s="10" t="n">
        <x:v>0.95</x:v>
      </x:c>
      <x:c r="N101" s="10" t="n">
        <x:v>1.2</x:v>
      </x:c>
      <x:c r="O101" s="7" t="n">
        <x:f>G101*L101*M101*N101</x:f>
        <x:v>5620428</x:v>
      </x:c>
      <x:c r="P101" s="7" t="n">
        <x:v>1875678.75</x:v>
      </x:c>
      <x:c r="Q101" s="7" t="n">
        <x:v>0</x:v>
      </x:c>
      <x:c r="R101" s="7" t="n">
        <x:v>5620428</x:v>
      </x:c>
      <x:c r="S101" s="7" t="n">
        <x:f>ROUND(O101-R101,6)</x:f>
        <x:v>0</x:v>
      </x:c>
    </x:row>
    <x:row r="102" ht="22" customHeight="1">
      <x:c r="A102" s="7" t="str">
        <x:v>ANNUAL</x:v>
      </x:c>
      <x:c r="B102" s="7" t="str">
        <x:v>FY</x:v>
      </x:c>
      <x:c r="C102" s="7" t="str">
        <x:v>P025</x:v>
      </x:c>
      <x:c r="D102" s="7" t="str">
        <x:v>D02</x:v>
      </x:c>
      <x:c r="E102" s="7" t="str">
        <x:v>G05</x:v>
      </x:c>
      <x:c r="F102" s="7" t="str">
        <x:v>华东</x:v>
      </x:c>
      <x:c r="G102" s="7" t="n">
        <x:v>2697500</x:v>
      </x:c>
      <x:c r="H102" s="7" t="n">
        <x:v>2427750</x:v>
      </x:c>
      <x:c r="I102" s="7" t="n">
        <x:v>161850</x:v>
      </x:c>
      <x:c r="J102" s="7" t="n">
        <x:f>G102-H102-I102</x:f>
        <x:v>107900</x:v>
      </x:c>
      <x:c r="K102" s="10" t="n">
        <x:f>IF(G102=0,0,(G102-H102)/G102)</x:f>
        <x:v>0.1</x:v>
      </x:c>
      <x:c r="L102" s="10" t="n">
        <x:v>1.1</x:v>
      </x:c>
      <x:c r="M102" s="10" t="n">
        <x:v>1.1</x:v>
      </x:c>
      <x:c r="N102" s="10" t="n">
        <x:v>0</x:v>
      </x:c>
      <x:c r="O102" s="7" t="n">
        <x:f>G102*L102*M102*N102</x:f>
        <x:v>0</x:v>
      </x:c>
      <x:c r="P102" s="7" t="n">
        <x:v>1265631.25</x:v>
      </x:c>
      <x:c r="Q102" s="7" t="n">
        <x:v>0</x:v>
      </x:c>
      <x:c r="R102" s="7" t="n">
        <x:v>0</x:v>
      </x:c>
      <x:c r="S102" s="7" t="n">
        <x:f>ROUND(O102-R102,6)</x:f>
        <x:v>0</x:v>
      </x:c>
    </x:row>
    <x:row r="103" ht="22" customHeight="1">
      <x:c r="A103" s="7" t="str">
        <x:v>ANNUAL</x:v>
      </x:c>
      <x:c r="B103" s="7" t="str">
        <x:v>FY</x:v>
      </x:c>
      <x:c r="C103" s="7" t="str">
        <x:v>P026</x:v>
      </x:c>
      <x:c r="D103" s="7" t="str">
        <x:v>D02</x:v>
      </x:c>
      <x:c r="E103" s="7" t="str">
        <x:v>G05</x:v>
      </x:c>
      <x:c r="F103" s="7" t="str">
        <x:v>华南</x:v>
      </x:c>
      <x:c r="G103" s="7" t="n">
        <x:v>1660000</x:v>
      </x:c>
      <x:c r="H103" s="7" t="n">
        <x:v>1411000</x:v>
      </x:c>
      <x:c r="I103" s="7" t="n">
        <x:v>298800</x:v>
      </x:c>
      <x:c r="J103" s="7" t="n">
        <x:f>G103-H103-I103</x:f>
        <x:v>-49800</x:v>
      </x:c>
      <x:c r="K103" s="10" t="n">
        <x:f>IF(G103=0,0,(G103-H103)/G103)</x:f>
        <x:v>0.15</x:v>
      </x:c>
      <x:c r="L103" s="10" t="n">
        <x:v>1</x:v>
      </x:c>
      <x:c r="M103" s="10" t="n">
        <x:v>0.95</x:v>
      </x:c>
      <x:c r="N103" s="10" t="n">
        <x:v>0.8</x:v>
      </x:c>
      <x:c r="O103" s="7" t="n">
        <x:f>G103*L103*M103*N103</x:f>
        <x:v>1261600</x:v>
      </x:c>
      <x:c r="P103" s="7" t="n">
        <x:v>876800</x:v>
      </x:c>
      <x:c r="Q103" s="7" t="n">
        <x:v>0</x:v>
      </x:c>
      <x:c r="R103" s="7" t="n">
        <x:v>1261600</x:v>
      </x:c>
      <x:c r="S103" s="7" t="n">
        <x:f>ROUND(O103-R103,6)</x:f>
        <x:v>0</x:v>
      </x:c>
    </x:row>
    <x:row r="104" ht="22" customHeight="1">
      <x:c r="A104" s="7" t="str">
        <x:v>ANNUAL</x:v>
      </x:c>
      <x:c r="B104" s="7" t="str">
        <x:v>FY</x:v>
      </x:c>
      <x:c r="C104" s="7" t="str">
        <x:v>P027</x:v>
      </x:c>
      <x:c r="D104" s="7" t="str">
        <x:v>D02</x:v>
      </x:c>
      <x:c r="E104" s="7" t="str">
        <x:v>G05</x:v>
      </x:c>
      <x:c r="F104" s="7" t="str">
        <x:v>华北</x:v>
      </x:c>
      <x:c r="G104" s="7" t="n">
        <x:v>5021500</x:v>
      </x:c>
      <x:c r="H104" s="7" t="n">
        <x:v>4017200</x:v>
      </x:c>
      <x:c r="I104" s="7" t="n">
        <x:v>502150</x:v>
      </x:c>
      <x:c r="J104" s="7" t="n">
        <x:f>G104-H104-I104</x:f>
        <x:v>502150</x:v>
      </x:c>
      <x:c r="K104" s="10" t="n">
        <x:f>IF(G104=0,0,(G104-H104)/G104)</x:f>
        <x:v>0.2</x:v>
      </x:c>
      <x:c r="L104" s="10" t="n">
        <x:v>0.9</x:v>
      </x:c>
      <x:c r="M104" s="10" t="n">
        <x:v>1.1</x:v>
      </x:c>
      <x:c r="N104" s="10" t="n">
        <x:v>0.8</x:v>
      </x:c>
      <x:c r="O104" s="7" t="n">
        <x:f>G104*L104*M104*N104</x:f>
        <x:v>3977028</x:v>
      </x:c>
      <x:c r="P104" s="7" t="n">
        <x:v>2529807.5</x:v>
      </x:c>
      <x:c r="Q104" s="7" t="n">
        <x:v>0</x:v>
      </x:c>
      <x:c r="R104" s="7" t="n">
        <x:v>3977028</x:v>
      </x:c>
      <x:c r="S104" s="7" t="n">
        <x:f>ROUND(O104-R104,6)</x:f>
        <x:v>0</x:v>
      </x:c>
    </x:row>
    <x:row r="105" ht="22" customHeight="1">
      <x:c r="A105" s="7" t="str">
        <x:v>ANNUAL</x:v>
      </x:c>
      <x:c r="B105" s="7" t="str">
        <x:v>FY</x:v>
      </x:c>
      <x:c r="C105" s="7" t="str">
        <x:v>P028</x:v>
      </x:c>
      <x:c r="D105" s="7" t="str">
        <x:v>D02</x:v>
      </x:c>
      <x:c r="E105" s="7" t="str">
        <x:v>G05</x:v>
      </x:c>
      <x:c r="F105" s="7" t="str">
        <x:v>西部</x:v>
      </x:c>
      <x:c r="G105" s="7" t="n">
        <x:v>2490000</x:v>
      </x:c>
      <x:c r="H105" s="7" t="n">
        <x:v>1867500</x:v>
      </x:c>
      <x:c r="I105" s="7" t="n">
        <x:v>149400</x:v>
      </x:c>
      <x:c r="J105" s="7" t="n">
        <x:f>G105-H105-I105</x:f>
        <x:v>473100</x:v>
      </x:c>
      <x:c r="K105" s="10" t="n">
        <x:f>IF(G105=0,0,(G105-H105)/G105)</x:f>
        <x:v>0.25</x:v>
      </x:c>
      <x:c r="L105" s="10" t="n">
        <x:v>1.2</x:v>
      </x:c>
      <x:c r="M105" s="10" t="n">
        <x:v>0.95</x:v>
      </x:c>
      <x:c r="N105" s="10" t="n">
        <x:v>1</x:v>
      </x:c>
      <x:c r="O105" s="7" t="n">
        <x:f>G105*L105*M105*N105</x:f>
        <x:v>2838600</x:v>
      </x:c>
      <x:c r="P105" s="7" t="n">
        <x:v>1136775</x:v>
      </x:c>
      <x:c r="Q105" s="7" t="n">
        <x:v>0</x:v>
      </x:c>
      <x:c r="R105" s="7" t="n">
        <x:v>2838600</x:v>
      </x:c>
      <x:c r="S105" s="7" t="n">
        <x:f>ROUND(O105-R105,6)</x:f>
        <x:v>0</x:v>
      </x:c>
    </x:row>
    <x:row r="106" ht="22" customHeight="1">
      <x:c r="A106" s="7" t="str">
        <x:v>ANNUAL</x:v>
      </x:c>
      <x:c r="B106" s="7" t="str">
        <x:v>FY</x:v>
      </x:c>
      <x:c r="C106" s="7" t="str">
        <x:v>P029</x:v>
      </x:c>
      <x:c r="D106" s="7" t="str">
        <x:v>D02</x:v>
      </x:c>
      <x:c r="E106" s="7" t="str">
        <x:v>G05</x:v>
      </x:c>
      <x:c r="F106" s="7" t="str">
        <x:v>华东</x:v>
      </x:c>
      <x:c r="G106" s="7" t="n">
        <x:v>1701500</x:v>
      </x:c>
      <x:c r="H106" s="7" t="n">
        <x:v>1191050</x:v>
      </x:c>
      <x:c r="I106" s="7" t="n">
        <x:v>306270</x:v>
      </x:c>
      <x:c r="J106" s="7" t="n">
        <x:f>G106-H106-I106</x:f>
        <x:v>204180</x:v>
      </x:c>
      <x:c r="K106" s="10" t="n">
        <x:f>IF(G106=0,0,(G106-H106)/G106)</x:f>
        <x:v>0.3</x:v>
      </x:c>
      <x:c r="L106" s="10" t="n">
        <x:v>1.1</x:v>
      </x:c>
      <x:c r="M106" s="10" t="n">
        <x:v>1.1</x:v>
      </x:c>
      <x:c r="N106" s="10" t="n">
        <x:v>1</x:v>
      </x:c>
      <x:c r="O106" s="7" t="n">
        <x:f>G106*L106*M106*N106</x:f>
        <x:v>2058815.0000000005</x:v>
      </x:c>
      <x:c r="P106" s="7" t="n">
        <x:v>798321.25</x:v>
      </x:c>
      <x:c r="Q106" s="7" t="n">
        <x:v>0</x:v>
      </x:c>
      <x:c r="R106" s="7" t="n">
        <x:v>2058815</x:v>
      </x:c>
      <x:c r="S106" s="7" t="n">
        <x:f>ROUND(O106-R106,6)</x:f>
        <x:v>0</x:v>
      </x:c>
    </x:row>
    <x:row r="107" ht="22" customHeight="1">
      <x:c r="A107" s="7" t="str">
        <x:v>ANNUAL</x:v>
      </x:c>
      <x:c r="B107" s="7" t="str">
        <x:v>FY</x:v>
      </x:c>
      <x:c r="C107" s="7" t="str">
        <x:v>P030</x:v>
      </x:c>
      <x:c r="D107" s="7" t="str">
        <x:v>D02</x:v>
      </x:c>
      <x:c r="E107" s="7" t="str">
        <x:v>G05</x:v>
      </x:c>
      <x:c r="F107" s="7" t="str">
        <x:v>华南</x:v>
      </x:c>
      <x:c r="G107" s="7" t="n">
        <x:v>3527500</x:v>
      </x:c>
      <x:c r="H107" s="7" t="n">
        <x:v>2292875</x:v>
      </x:c>
      <x:c r="I107" s="7" t="n">
        <x:v>352750</x:v>
      </x:c>
      <x:c r="J107" s="7" t="n">
        <x:f>G107-H107-I107</x:f>
        <x:v>881875</x:v>
      </x:c>
      <x:c r="K107" s="10" t="n">
        <x:f>IF(G107=0,0,(G107-H107)/G107)</x:f>
        <x:v>0.35</x:v>
      </x:c>
      <x:c r="L107" s="10" t="n">
        <x:v>1</x:v>
      </x:c>
      <x:c r="M107" s="10" t="n">
        <x:v>0.95</x:v>
      </x:c>
      <x:c r="N107" s="10" t="n">
        <x:v>1.2</x:v>
      </x:c>
      <x:c r="O107" s="7" t="n">
        <x:f>G107*L107*M107*N107</x:f>
        <x:v>4021350</x:v>
      </x:c>
      <x:c r="P107" s="7" t="n">
        <x:v>1863200</x:v>
      </x:c>
      <x:c r="Q107" s="7" t="n">
        <x:v>0</x:v>
      </x:c>
      <x:c r="R107" s="7" t="n">
        <x:v>4021350</x:v>
      </x:c>
      <x:c r="S107" s="7" t="n">
        <x:f>ROUND(O107-R107,6)</x:f>
        <x:v>0</x:v>
      </x:c>
    </x:row>
    <x:row r="108" ht="22" customHeight="1">
      <x:c r="A108" s="7" t="str">
        <x:v>ANNUAL</x:v>
      </x:c>
      <x:c r="B108" s="7" t="str">
        <x:v>FY</x:v>
      </x:c>
      <x:c r="C108" s="7" t="str">
        <x:v>P031</x:v>
      </x:c>
      <x:c r="D108" s="7" t="str">
        <x:v>D02</x:v>
      </x:c>
      <x:c r="E108" s="7" t="str">
        <x:v>G06</x:v>
      </x:c>
      <x:c r="F108" s="7" t="str">
        <x:v>华北</x:v>
      </x:c>
      <x:c r="G108" s="7" t="n">
        <x:v>4233000</x:v>
      </x:c>
      <x:c r="H108" s="7" t="n">
        <x:v>3809700</x:v>
      </x:c>
      <x:c r="I108" s="7" t="n">
        <x:v>253980</x:v>
      </x:c>
      <x:c r="J108" s="7" t="n">
        <x:f>G108-H108-I108</x:f>
        <x:v>169320</x:v>
      </x:c>
      <x:c r="K108" s="10" t="n">
        <x:f>IF(G108=0,0,(G108-H108)/G108)</x:f>
        <x:v>0.1</x:v>
      </x:c>
      <x:c r="L108" s="10" t="n">
        <x:v>0.9</x:v>
      </x:c>
      <x:c r="M108" s="10" t="n">
        <x:v>1.1</x:v>
      </x:c>
      <x:c r="N108" s="10" t="n">
        <x:v>0</x:v>
      </x:c>
      <x:c r="O108" s="7" t="n">
        <x:f>G108*L108*M108*N108</x:f>
        <x:v>0</x:v>
      </x:c>
      <x:c r="P108" s="7" t="n">
        <x:v>0</x:v>
      </x:c>
      <x:c r="Q108" s="7" t="n">
        <x:v>0</x:v>
      </x:c>
      <x:c r="R108" s="7" t="n">
        <x:v>0</x:v>
      </x:c>
      <x:c r="S108" s="7" t="n">
        <x:f>ROUND(O108-R108,6)</x:f>
        <x:v>0</x:v>
      </x:c>
    </x:row>
    <x:row r="109" ht="22" customHeight="1">
      <x:c r="A109" s="7" t="str">
        <x:v>ANNUAL</x:v>
      </x:c>
      <x:c r="B109" s="7" t="str">
        <x:v>FY</x:v>
      </x:c>
      <x:c r="C109" s="7" t="str">
        <x:v>P032</x:v>
      </x:c>
      <x:c r="D109" s="7" t="str">
        <x:v>D02</x:v>
      </x:c>
      <x:c r="E109" s="7" t="str">
        <x:v>G06</x:v>
      </x:c>
      <x:c r="F109" s="7" t="str">
        <x:v>西部</x:v>
      </x:c>
      <x:c r="G109" s="7" t="n">
        <x:v>5395000</x:v>
      </x:c>
      <x:c r="H109" s="7" t="n">
        <x:v>4585750</x:v>
      </x:c>
      <x:c r="I109" s="7" t="n">
        <x:v>971100</x:v>
      </x:c>
      <x:c r="J109" s="7" t="n">
        <x:f>G109-H109-I109</x:f>
        <x:v>-161850</x:v>
      </x:c>
      <x:c r="K109" s="10" t="n">
        <x:f>IF(G109=0,0,(G109-H109)/G109)</x:f>
        <x:v>0.15</x:v>
      </x:c>
      <x:c r="L109" s="10" t="n">
        <x:v>1.2</x:v>
      </x:c>
      <x:c r="M109" s="10" t="n">
        <x:v>0.95</x:v>
      </x:c>
      <x:c r="N109" s="10" t="n">
        <x:v>0.8</x:v>
      </x:c>
      <x:c r="O109" s="7" t="n">
        <x:f>G109*L109*M109*N109</x:f>
        <x:v>4920240</x:v>
      </x:c>
      <x:c r="P109" s="7" t="n">
        <x:v>0</x:v>
      </x:c>
      <x:c r="Q109" s="7" t="n">
        <x:v>0</x:v>
      </x:c>
      <x:c r="R109" s="7" t="n">
        <x:v>4920240</x:v>
      </x:c>
      <x:c r="S109" s="7" t="n">
        <x:f>ROUND(O109-R109,6)</x:f>
        <x:v>0</x:v>
      </x:c>
    </x:row>
    <x:row r="110" ht="22" customHeight="1">
      <x:c r="A110" s="7" t="str">
        <x:v>ANNUAL</x:v>
      </x:c>
      <x:c r="B110" s="7" t="str">
        <x:v>FY</x:v>
      </x:c>
      <x:c r="C110" s="7" t="str">
        <x:v>P033</x:v>
      </x:c>
      <x:c r="D110" s="7" t="str">
        <x:v>D02</x:v>
      </x:c>
      <x:c r="E110" s="7" t="str">
        <x:v>G06</x:v>
      </x:c>
      <x:c r="F110" s="7" t="str">
        <x:v>华东</x:v>
      </x:c>
      <x:c r="G110" s="7" t="n">
        <x:v>5851500</x:v>
      </x:c>
      <x:c r="H110" s="7" t="n">
        <x:v>4681200</x:v>
      </x:c>
      <x:c r="I110" s="7" t="n">
        <x:v>585150</x:v>
      </x:c>
      <x:c r="J110" s="7" t="n">
        <x:f>G110-H110-I110</x:f>
        <x:v>585150</x:v>
      </x:c>
      <x:c r="K110" s="10" t="n">
        <x:f>IF(G110=0,0,(G110-H110)/G110)</x:f>
        <x:v>0.2</x:v>
      </x:c>
      <x:c r="L110" s="10" t="n">
        <x:v>1.1</x:v>
      </x:c>
      <x:c r="M110" s="10" t="n">
        <x:v>1.1</x:v>
      </x:c>
      <x:c r="N110" s="10" t="n">
        <x:v>0.8</x:v>
      </x:c>
      <x:c r="O110" s="7" t="n">
        <x:f>G110*L110*M110*N110</x:f>
        <x:v>5664252.000000002</x:v>
      </x:c>
      <x:c r="P110" s="7" t="n">
        <x:v>0</x:v>
      </x:c>
      <x:c r="Q110" s="7" t="n">
        <x:v>0</x:v>
      </x:c>
      <x:c r="R110" s="7" t="n">
        <x:v>5664252</x:v>
      </x:c>
      <x:c r="S110" s="7" t="n">
        <x:f>ROUND(O110-R110,6)</x:f>
        <x:v>0</x:v>
      </x:c>
    </x:row>
    <x:row r="111" ht="22" customHeight="1">
      <x:c r="A111" s="7" t="str">
        <x:v>ANNUAL</x:v>
      </x:c>
      <x:c r="B111" s="7" t="str">
        <x:v>FY</x:v>
      </x:c>
      <x:c r="C111" s="7" t="str">
        <x:v>P034</x:v>
      </x:c>
      <x:c r="D111" s="7" t="str">
        <x:v>D02</x:v>
      </x:c>
      <x:c r="E111" s="7" t="str">
        <x:v>G06</x:v>
      </x:c>
      <x:c r="F111" s="7" t="str">
        <x:v>华南</x:v>
      </x:c>
      <x:c r="G111" s="7" t="n">
        <x:v>4025500</x:v>
      </x:c>
      <x:c r="H111" s="7" t="n">
        <x:v>3019125</x:v>
      </x:c>
      <x:c r="I111" s="7" t="n">
        <x:v>241530</x:v>
      </x:c>
      <x:c r="J111" s="7" t="n">
        <x:f>G111-H111-I111</x:f>
        <x:v>764845</x:v>
      </x:c>
      <x:c r="K111" s="10" t="n">
        <x:f>IF(G111=0,0,(G111-H111)/G111)</x:f>
        <x:v>0.25</x:v>
      </x:c>
      <x:c r="L111" s="10" t="n">
        <x:v>1</x:v>
      </x:c>
      <x:c r="M111" s="10" t="n">
        <x:v>0.95</x:v>
      </x:c>
      <x:c r="N111" s="10" t="n">
        <x:v>1</x:v>
      </x:c>
      <x:c r="O111" s="7" t="n">
        <x:f>G111*L111*M111*N111</x:f>
        <x:v>3824225</x:v>
      </x:c>
      <x:c r="P111" s="7" t="n">
        <x:v>0</x:v>
      </x:c>
      <x:c r="Q111" s="7" t="n">
        <x:v>0</x:v>
      </x:c>
      <x:c r="R111" s="7" t="n">
        <x:v>3824225</x:v>
      </x:c>
      <x:c r="S111" s="7" t="n">
        <x:f>ROUND(O111-R111,6)</x:f>
        <x:v>0</x:v>
      </x:c>
    </x:row>
    <x:row r="112" ht="22" customHeight="1">
      <x:c r="A112" s="7" t="str">
        <x:v>ANNUAL</x:v>
      </x:c>
      <x:c r="B112" s="7" t="str">
        <x:v>FY</x:v>
      </x:c>
      <x:c r="C112" s="7" t="str">
        <x:v>P035</x:v>
      </x:c>
      <x:c r="D112" s="7" t="str">
        <x:v>D02</x:v>
      </x:c>
      <x:c r="E112" s="7" t="str">
        <x:v>G06</x:v>
      </x:c>
      <x:c r="F112" s="7" t="str">
        <x:v>华北</x:v>
      </x:c>
      <x:c r="G112" s="7" t="n">
        <x:v>2573000</x:v>
      </x:c>
      <x:c r="H112" s="7" t="n">
        <x:v>1801100</x:v>
      </x:c>
      <x:c r="I112" s="7" t="n">
        <x:v>463140</x:v>
      </x:c>
      <x:c r="J112" s="7" t="n">
        <x:f>G112-H112-I112</x:f>
        <x:v>308760</x:v>
      </x:c>
      <x:c r="K112" s="10" t="n">
        <x:f>IF(G112=0,0,(G112-H112)/G112)</x:f>
        <x:v>0.3</x:v>
      </x:c>
      <x:c r="L112" s="10" t="n">
        <x:v>0.9</x:v>
      </x:c>
      <x:c r="M112" s="10" t="n">
        <x:v>1.1</x:v>
      </x:c>
      <x:c r="N112" s="10" t="n">
        <x:v>1</x:v>
      </x:c>
      <x:c r="O112" s="7" t="n">
        <x:f>G112*L112*M112*N112</x:f>
        <x:v>2547270</x:v>
      </x:c>
      <x:c r="P112" s="7" t="n">
        <x:v>0</x:v>
      </x:c>
      <x:c r="Q112" s="7" t="n">
        <x:v>0</x:v>
      </x:c>
      <x:c r="R112" s="7" t="n">
        <x:v>2547270</x:v>
      </x:c>
      <x:c r="S112" s="7" t="n">
        <x:f>ROUND(O112-R112,6)</x:f>
        <x:v>0</x:v>
      </x:c>
    </x:row>
    <x:row r="113" ht="22" customHeight="1">
      <x:c r="A113" s="7" t="str">
        <x:v>ANNUAL</x:v>
      </x:c>
      <x:c r="B113" s="7" t="str">
        <x:v>FY</x:v>
      </x:c>
      <x:c r="C113" s="7" t="str">
        <x:v>P036</x:v>
      </x:c>
      <x:c r="D113" s="7" t="str">
        <x:v>D02</x:v>
      </x:c>
      <x:c r="E113" s="7" t="str">
        <x:v>G06</x:v>
      </x:c>
      <x:c r="F113" s="7" t="str">
        <x:v>西部</x:v>
      </x:c>
      <x:c r="G113" s="7" t="n">
        <x:v>5561000</x:v>
      </x:c>
      <x:c r="H113" s="7" t="n">
        <x:v>3614650</x:v>
      </x:c>
      <x:c r="I113" s="7" t="n">
        <x:v>556100</x:v>
      </x:c>
      <x:c r="J113" s="7" t="n">
        <x:f>G113-H113-I113</x:f>
        <x:v>1390250</x:v>
      </x:c>
      <x:c r="K113" s="10" t="n">
        <x:f>IF(G113=0,0,(G113-H113)/G113)</x:f>
        <x:v>0.35</x:v>
      </x:c>
      <x:c r="L113" s="10" t="n">
        <x:v>1.2</x:v>
      </x:c>
      <x:c r="M113" s="10" t="n">
        <x:v>0.95</x:v>
      </x:c>
      <x:c r="N113" s="10" t="n">
        <x:v>1.2</x:v>
      </x:c>
      <x:c r="O113" s="7" t="n">
        <x:f>G113*L113*M113*N113</x:f>
        <x:v>7607448</x:v>
      </x:c>
      <x:c r="P113" s="7" t="n">
        <x:v>0</x:v>
      </x:c>
      <x:c r="Q113" s="7" t="n">
        <x:v>0</x:v>
      </x:c>
      <x:c r="R113" s="7" t="n">
        <x:v>7607448</x:v>
      </x:c>
      <x:c r="S113" s="7" t="n">
        <x:f>ROUND(O113-R113,6)</x:f>
        <x:v>0</x:v>
      </x:c>
    </x:row>
  </x:sheetData>
  <x:conditionalFormatting sqref="S6:S113">
    <x:cfRule type="cellIs" dxfId="2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f2bed144b7400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30" hidden="0" customWidth="1"/>
    <x:col min="4" max="4" width="30" hidden="0" customWidth="1"/>
    <x:col min="5" max="5" width="18" hidden="0" customWidth="1"/>
  </x:cols>
  <x:sheetData>
    <x:row r="2" ht="27" customHeight="1">
      <x:c r="A2" s="8" t="str">
        <x:v>边界与异常验收</x:v>
      </x:c>
    </x:row>
    <x:row r="3">
      <x:c r="A3" s="9" t="str">
        <x:v>错误用例独立叠加到正常输入；不污染基准数据。状态为参考实现执行结果。</x:v>
      </x:c>
    </x:row>
    <x:row r="5" ht="42" customHeight="1">
      <x:c r="A5" s="6" t="str">
        <x:v>用例编号</x:v>
      </x:c>
      <x:c r="B5" s="6" t="str">
        <x:v>核对事项</x:v>
      </x:c>
      <x:c r="C5" s="6" t="str">
        <x:v>期望结果</x:v>
      </x:c>
      <x:c r="D5" s="6" t="str">
        <x:v>实际结果</x:v>
      </x:c>
      <x:c r="E5" s="6" t="str">
        <x:v>核对状态</x:v>
      </x:c>
    </x:row>
    <x:row r="6" ht="22" customHeight="1">
      <x:c r="A6" s="7" t="str">
        <x:v>U001</x:v>
      </x:c>
      <x:c r="B6" s="7" t="str">
        <x:v>全额阶梯 0</x:v>
      </x:c>
      <x:c r="C6" s="7" t="str">
        <x:v>0.08</x:v>
      </x:c>
      <x:c r="D6" s="7" t="str">
        <x:v>0.08</x:v>
      </x:c>
      <x:c r="E6" s="7" t="str">
        <x:v>PASS</x:v>
      </x:c>
    </x:row>
    <x:row r="7" ht="22" customHeight="1">
      <x:c r="A7" s="7" t="str">
        <x:v>U002</x:v>
      </x:c>
      <x:c r="B7" s="7" t="str">
        <x:v>全额阶梯 9999999.99</x:v>
      </x:c>
      <x:c r="C7" s="7" t="str">
        <x:v>0.08</x:v>
      </x:c>
      <x:c r="D7" s="7" t="str">
        <x:v>0.08</x:v>
      </x:c>
      <x:c r="E7" s="7" t="str">
        <x:v>PASS</x:v>
      </x:c>
    </x:row>
    <x:row r="8" ht="22" customHeight="1">
      <x:c r="A8" s="7" t="str">
        <x:v>U003</x:v>
      </x:c>
      <x:c r="B8" s="7" t="str">
        <x:v>全额阶梯 10000000</x:v>
      </x:c>
      <x:c r="C8" s="7" t="str">
        <x:v>0.10</x:v>
      </x:c>
      <x:c r="D8" s="7" t="str">
        <x:v>0.10</x:v>
      </x:c>
      <x:c r="E8" s="7" t="str">
        <x:v>PASS</x:v>
      </x:c>
    </x:row>
    <x:row r="9" ht="22" customHeight="1">
      <x:c r="A9" s="7" t="str">
        <x:v>U004</x:v>
      </x:c>
      <x:c r="B9" s="7" t="str">
        <x:v>全额阶梯 19999999.99</x:v>
      </x:c>
      <x:c r="C9" s="7" t="str">
        <x:v>0.10</x:v>
      </x:c>
      <x:c r="D9" s="7" t="str">
        <x:v>0.10</x:v>
      </x:c>
      <x:c r="E9" s="7" t="str">
        <x:v>PASS</x:v>
      </x:c>
    </x:row>
    <x:row r="10" ht="22" customHeight="1">
      <x:c r="A10" s="7" t="str">
        <x:v>U005</x:v>
      </x:c>
      <x:c r="B10" s="7" t="str">
        <x:v>全额阶梯 20000000</x:v>
      </x:c>
      <x:c r="C10" s="7" t="str">
        <x:v>0.12</x:v>
      </x:c>
      <x:c r="D10" s="7" t="str">
        <x:v>0.12</x:v>
      </x:c>
      <x:c r="E10" s="7" t="str">
        <x:v>PASS</x:v>
      </x:c>
    </x:row>
    <x:row r="11" ht="22" customHeight="1">
      <x:c r="A11" s="7" t="str">
        <x:v>U006</x:v>
      </x:c>
      <x:c r="B11" s="7" t="str">
        <x:v>分段阶梯 0</x:v>
      </x:c>
      <x:c r="C11" s="7" t="str">
        <x:v>0</x:v>
      </x:c>
      <x:c r="D11" s="7" t="str">
        <x:v>0.00</x:v>
      </x:c>
      <x:c r="E11" s="7" t="str">
        <x:v>PASS</x:v>
      </x:c>
    </x:row>
    <x:row r="12" ht="22" customHeight="1">
      <x:c r="A12" s="7" t="str">
        <x:v>U007</x:v>
      </x:c>
      <x:c r="B12" s="7" t="str">
        <x:v>分段阶梯 10000000</x:v>
      </x:c>
      <x:c r="C12" s="7" t="str">
        <x:v>500000</x:v>
      </x:c>
      <x:c r="D12" s="7" t="str">
        <x:v>500000.00</x:v>
      </x:c>
      <x:c r="E12" s="7" t="str">
        <x:v>PASS</x:v>
      </x:c>
    </x:row>
    <x:row r="13" ht="22" customHeight="1">
      <x:c r="A13" s="7" t="str">
        <x:v>U008</x:v>
      </x:c>
      <x:c r="B13" s="7" t="str">
        <x:v>分段阶梯 20000000</x:v>
      </x:c>
      <x:c r="C13" s="7" t="str">
        <x:v>1300000</x:v>
      </x:c>
      <x:c r="D13" s="7" t="str">
        <x:v>1300000.00</x:v>
      </x:c>
      <x:c r="E13" s="7" t="str">
        <x:v>PASS</x:v>
      </x:c>
    </x:row>
    <x:row r="14" ht="22" customHeight="1">
      <x:c r="A14" s="7" t="str">
        <x:v>U009</x:v>
      </x:c>
      <x:c r="B14" s="7" t="str">
        <x:v>分段阶梯 25000000</x:v>
      </x:c>
      <x:c r="C14" s="7" t="str">
        <x:v>1800000</x:v>
      </x:c>
      <x:c r="D14" s="7" t="str">
        <x:v>1800000.00</x:v>
      </x:c>
      <x:c r="E14" s="7" t="str">
        <x:v>PASS</x:v>
      </x:c>
    </x:row>
    <x:row r="15" ht="22" customHeight="1">
      <x:c r="A15" s="7" t="str">
        <x:v>U010</x:v>
      </x:c>
      <x:c r="B15" s="7" t="str">
        <x:v>毛利率边界 .149999</x:v>
      </x:c>
      <x:c r="C15" s="7" t="str">
        <x:v>0</x:v>
      </x:c>
      <x:c r="D15" s="7" t="str">
        <x:v>0</x:v>
      </x:c>
      <x:c r="E15" s="7" t="str">
        <x:v>PASS</x:v>
      </x:c>
    </x:row>
    <x:row r="16" ht="22" customHeight="1">
      <x:c r="A16" s="7" t="str">
        <x:v>U011</x:v>
      </x:c>
      <x:c r="B16" s="7" t="str">
        <x:v>毛利率边界 .15</x:v>
      </x:c>
      <x:c r="C16" s="7" t="str">
        <x:v>0.8</x:v>
      </x:c>
      <x:c r="D16" s="7" t="str">
        <x:v>0.80</x:v>
      </x:c>
      <x:c r="E16" s="7" t="str">
        <x:v>PASS</x:v>
      </x:c>
    </x:row>
    <x:row r="17" ht="22" customHeight="1">
      <x:c r="A17" s="7" t="str">
        <x:v>U012</x:v>
      </x:c>
      <x:c r="B17" s="7" t="str">
        <x:v>毛利率边界 .249999</x:v>
      </x:c>
      <x:c r="C17" s="7" t="str">
        <x:v>0.8</x:v>
      </x:c>
      <x:c r="D17" s="7" t="str">
        <x:v>0.80</x:v>
      </x:c>
      <x:c r="E17" s="7" t="str">
        <x:v>PASS</x:v>
      </x:c>
    </x:row>
    <x:row r="18" ht="22" customHeight="1">
      <x:c r="A18" s="7" t="str">
        <x:v>U013</x:v>
      </x:c>
      <x:c r="B18" s="7" t="str">
        <x:v>毛利率边界 .25</x:v>
      </x:c>
      <x:c r="C18" s="7" t="str">
        <x:v>1</x:v>
      </x:c>
      <x:c r="D18" s="7" t="str">
        <x:v>1.00</x:v>
      </x:c>
      <x:c r="E18" s="7" t="str">
        <x:v>PASS</x:v>
      </x:c>
    </x:row>
    <x:row r="19" ht="22" customHeight="1">
      <x:c r="A19" s="7" t="str">
        <x:v>U014</x:v>
      </x:c>
      <x:c r="B19" s="7" t="str">
        <x:v>毛利率边界 .349999</x:v>
      </x:c>
      <x:c r="C19" s="7" t="str">
        <x:v>1</x:v>
      </x:c>
      <x:c r="D19" s="7" t="str">
        <x:v>1.00</x:v>
      </x:c>
      <x:c r="E19" s="7" t="str">
        <x:v>PASS</x:v>
      </x:c>
    </x:row>
    <x:row r="20" ht="22" customHeight="1">
      <x:c r="A20" s="7" t="str">
        <x:v>U015</x:v>
      </x:c>
      <x:c r="B20" s="7" t="str">
        <x:v>毛利率边界 .35</x:v>
      </x:c>
      <x:c r="C20" s="7" t="str">
        <x:v>1.2</x:v>
      </x:c>
      <x:c r="D20" s="7" t="str">
        <x:v>1.20</x:v>
      </x:c>
      <x:c r="E20" s="7" t="str">
        <x:v>PASS</x:v>
      </x:c>
    </x:row>
    <x:row r="21" ht="22" customHeight="1">
      <x:c r="A21" s="7" t="str">
        <x:v>U016</x:v>
      </x:c>
      <x:c r="B21" s="7" t="str">
        <x:v>1分钱三人同权重 编号最小者补分</x:v>
      </x:c>
      <x:c r="C21" s="7" t="str">
        <x:v>0.01</x:v>
      </x:c>
      <x:c r="D21" s="7" t="str">
        <x:v>0.01</x:v>
      </x:c>
      <x:c r="E21" s="7" t="str">
        <x:v>PASS</x:v>
      </x:c>
    </x:row>
    <x:row r="22" ht="22" customHeight="1">
      <x:c r="A22" s="7" t="str">
        <x:v>U017</x:v>
      </x:c>
      <x:c r="B22" s="7" t="str">
        <x:v>固定总包调整 A</x:v>
      </x:c>
      <x:c r="C22" s="7" t="str">
        <x:v>30</x:v>
      </x:c>
      <x:c r="D22" s="7" t="str">
        <x:v>30.00</x:v>
      </x:c>
      <x:c r="E22" s="7" t="str">
        <x:v>PASS</x:v>
      </x:c>
    </x:row>
    <x:row r="23" ht="22" customHeight="1">
      <x:c r="A23" s="7" t="str">
        <x:v>U018</x:v>
      </x:c>
      <x:c r="B23" s="7" t="str">
        <x:v>固定总包调整 B</x:v>
      </x:c>
      <x:c r="C23" s="7" t="str">
        <x:v>26.25</x:v>
      </x:c>
      <x:c r="D23" s="7" t="str">
        <x:v>26.25</x:v>
      </x:c>
      <x:c r="E23" s="7" t="str">
        <x:v>PASS</x:v>
      </x:c>
    </x:row>
    <x:row r="24" ht="22" customHeight="1">
      <x:c r="A24" s="7" t="str">
        <x:v>U019</x:v>
      </x:c>
      <x:c r="B24" s="7" t="str">
        <x:v>固定总包调整 C</x:v>
      </x:c>
      <x:c r="C24" s="7" t="str">
        <x:v>43.75</x:v>
      </x:c>
      <x:c r="D24" s="7" t="str">
        <x:v>43.75</x:v>
      </x:c>
      <x:c r="E24" s="7" t="str">
        <x:v>PASS</x:v>
      </x:c>
    </x:row>
    <x:row r="25" ht="22" customHeight="1">
      <x:c r="A25" s="7" t="str">
        <x:v>U020</x:v>
      </x:c>
      <x:c r="B25" s="7" t="str">
        <x:v>零金额人工覆盖有效</x:v>
      </x:c>
      <x:c r="C25" s="7" t="str">
        <x:v>0</x:v>
      </x:c>
      <x:c r="D25" s="7" t="str">
        <x:v>0.00</x:v>
      </x:c>
      <x:c r="E25" s="7" t="str">
        <x:v>PASS</x:v>
      </x:c>
    </x:row>
    <x:row r="26" ht="22" customHeight="1">
      <x:c r="A26" s="7" t="str">
        <x:v>U021</x:v>
      </x:c>
      <x:c r="B26" s="7" t="str">
        <x:v>人工调整超过总包</x:v>
      </x:c>
      <x:c r="C26" s="7" t="str">
        <x:v>POOL_EXCEEDED</x:v>
      </x:c>
      <x:c r="D26" s="7" t="str">
        <x:v>POOL_EXCEEDED</x:v>
      </x:c>
      <x:c r="E26" s="7" t="str">
        <x:v>PASS</x:v>
      </x:c>
    </x:row>
    <x:row r="27" ht="22" customHeight="1">
      <x:c r="A27" s="7" t="str">
        <x:v>U022</x:v>
      </x:c>
      <x:c r="B27" s="7" t="str">
        <x:v>剩余权重为零</x:v>
      </x:c>
      <x:c r="C27" s="7" t="str">
        <x:v>ZERO_WEIGHT_SUM</x:v>
      </x:c>
      <x:c r="D27" s="7" t="str">
        <x:v>ZERO_WEIGHT_SUM</x:v>
      </x:c>
      <x:c r="E27" s="7" t="str">
        <x:v>PASS</x:v>
      </x:c>
    </x:row>
    <x:row r="28" ht="22" customHeight="1">
      <x:c r="A28" s="7" t="str">
        <x:v>N001</x:v>
      </x:c>
      <x:c r="B28" s="7" t="str">
        <x:v>销售主键重复</x:v>
      </x:c>
      <x:c r="C28" s="7" t="str">
        <x:v>DUPLICATE_KEY</x:v>
      </x:c>
      <x:c r="D28" s="7" t="str">
        <x:v>BLOCKED</x:v>
      </x:c>
      <x:c r="E28" s="7" t="str">
        <x:v>PASS</x:v>
      </x:c>
    </x:row>
    <x:row r="29" ht="22" customHeight="1">
      <x:c r="A29" s="7" t="str">
        <x:v>N002</x:v>
      </x:c>
      <x:c r="B29" s="7" t="str">
        <x:v>未知区域</x:v>
      </x:c>
      <x:c r="C29" s="7" t="str">
        <x:v>UNKNOWN_REGION</x:v>
      </x:c>
      <x:c r="D29" s="7" t="str">
        <x:v>BLOCKED</x:v>
      </x:c>
      <x:c r="E29" s="7" t="str">
        <x:v>PASS</x:v>
      </x:c>
    </x:row>
    <x:row r="30" ht="22" customHeight="1">
      <x:c r="A30" s="7" t="str">
        <x:v>N003</x:v>
      </x:c>
      <x:c r="B30" s="7" t="str">
        <x:v>参与比例不合计为1</x:v>
      </x:c>
      <x:c r="C30" s="7" t="str">
        <x:v>SHARE_SUM_NOT_ONE</x:v>
      </x:c>
      <x:c r="D30" s="7" t="str">
        <x:v>BLOCKED</x:v>
      </x:c>
      <x:c r="E30" s="7" t="str">
        <x:v>PASS</x:v>
      </x:c>
    </x:row>
    <x:row r="31" ht="22" customHeight="1">
      <x:c r="A31" s="7" t="str">
        <x:v>N004</x:v>
      </x:c>
      <x:c r="B31" s="7" t="str">
        <x:v>回款单找不到销售单</x:v>
      </x:c>
      <x:c r="C31" s="7" t="str">
        <x:v>UNKNOWN_SALES</x:v>
      </x:c>
      <x:c r="D31" s="7" t="str">
        <x:v>BLOCKED</x:v>
      </x:c>
      <x:c r="E31" s="7" t="str">
        <x:v>PASS</x:v>
      </x:c>
    </x:row>
    <x:row r="32" ht="22" customHeight="1">
      <x:c r="A32" s="7" t="str">
        <x:v>N005</x:v>
      </x:c>
      <x:c r="B32" s="7" t="str">
        <x:v>AI评分未审批</x:v>
      </x:c>
      <x:c r="C32" s="7" t="str">
        <x:v>SCORE_NOT_APPROVED</x:v>
      </x:c>
      <x:c r="D32" s="7" t="str">
        <x:v>BLOCKED</x:v>
      </x:c>
      <x:c r="E32" s="7" t="str">
        <x:v>PASS</x:v>
      </x:c>
    </x:row>
    <x:row r="33" ht="22" customHeight="1">
      <x:c r="A33" s="7" t="str">
        <x:v>N006</x:v>
      </x:c>
      <x:c r="B33" s="7" t="str">
        <x:v>目标值为零</x:v>
      </x:c>
      <x:c r="C33" s="7" t="str">
        <x:v>NONPOSITIVE_TARGET</x:v>
      </x:c>
      <x:c r="D33" s="7" t="str">
        <x:v>BLOCKED</x:v>
      </x:c>
      <x:c r="E33" s="7" t="str">
        <x:v>PASS</x:v>
      </x:c>
    </x:row>
    <x:row r="34" ht="22" customHeight="1">
      <x:c r="A34" s="7" t="str">
        <x:v>N007</x:v>
      </x:c>
      <x:c r="B34" s="7" t="str">
        <x:v>回款超出销售额</x:v>
      </x:c>
      <x:c r="C34" s="7" t="str">
        <x:v>RECEIPT_EXCEEDS_SALES</x:v>
      </x:c>
      <x:c r="D34" s="7" t="str">
        <x:v>BLOCKED</x:v>
      </x:c>
      <x:c r="E34" s="7" t="str">
        <x:v>PASS</x:v>
      </x:c>
    </x:row>
    <x:row r="35" ht="22" customHeight="1">
      <x:c r="A35" s="7" t="str">
        <x:v>N008</x:v>
      </x:c>
      <x:c r="B35" s="7" t="str">
        <x:v>收款政策未确认</x:v>
      </x:c>
      <x:c r="C35" s="7" t="str">
        <x:v>POLICY_UNCONFIRMED</x:v>
      </x:c>
      <x:c r="D35" s="7" t="str">
        <x:v>BLOCKED</x:v>
      </x:c>
      <x:c r="E35" s="7" t="str">
        <x:v>PASS</x:v>
      </x:c>
    </x:row>
    <x:row r="36" ht="22" customHeight="1">
      <x:c r="A36" s="7" t="str">
        <x:v>N009</x:v>
      </x:c>
      <x:c r="B36" s="7" t="str">
        <x:v>跨期政策未确认</x:v>
      </x:c>
      <x:c r="C36" s="7" t="str">
        <x:v>POLICY_UNCONFIRMED</x:v>
      </x:c>
      <x:c r="D36" s="7" t="str">
        <x:v>BLOCKED</x:v>
      </x:c>
      <x:c r="E36" s="7" t="str">
        <x:v>PASS</x:v>
      </x:c>
    </x:row>
    <x:row r="37" ht="22" customHeight="1">
      <x:c r="A37" s="7" t="str">
        <x:v>N010</x:v>
      </x:c>
      <x:c r="B37" s="7" t="str">
        <x:v>人工评分超出量表</x:v>
      </x:c>
      <x:c r="C37" s="7" t="str">
        <x:v>SCORE_OUT_OF_RANGE</x:v>
      </x:c>
      <x:c r="D37" s="7" t="str">
        <x:v>BLOCKED</x:v>
      </x:c>
      <x:c r="E37" s="7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91420e6c4e13498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8" hidden="0" customWidth="1"/>
    <x:col min="4" max="4" width="55" hidden="0" customWidth="1"/>
  </x:cols>
  <x:sheetData>
    <x:row r="1" ht="42" customHeight="1">
      <x:c r="A1" s="6" t="str">
        <x:v>参数</x:v>
      </x:c>
      <x:c r="B1" s="6" t="str">
        <x:v>数值</x:v>
      </x:c>
      <x:c r="C1" s="6" t="str">
        <x:v>单位</x:v>
      </x:c>
      <x:c r="D1" s="6" t="str">
        <x:v>含义</x:v>
      </x:c>
    </x:row>
    <x:row r="2" ht="22" customHeight="1">
      <x:c r="A2" s="7" t="str">
        <x:v>employee_weight_tenure</x:v>
      </x:c>
      <x:c r="B2" s="7" t="n">
        <x:v>0.1</x:v>
      </x:c>
      <x:c r="C2" s="7" t="str">
        <x:v>权重</x:v>
      </x:c>
      <x:c r="D2" s="7" t="str">
        <x:v>个人指标权重，合计1</x:v>
      </x:c>
    </x:row>
    <x:row r="3" ht="22" customHeight="1">
      <x:c r="A3" s="7" t="str">
        <x:v>employee_weight_contribution</x:v>
      </x:c>
      <x:c r="B3" s="7" t="n">
        <x:v>0.2</x:v>
      </x:c>
      <x:c r="C3" s="7" t="str">
        <x:v>权重</x:v>
      </x:c>
      <x:c r="D3" s="7" t="str">
        <x:v>个人指标权重，合计1</x:v>
      </x:c>
    </x:row>
    <x:row r="4" ht="22" customHeight="1">
      <x:c r="A4" s="7" t="str">
        <x:v>employee_weight_difficulty</x:v>
      </x:c>
      <x:c r="B4" s="7" t="n">
        <x:v>0.15</x:v>
      </x:c>
      <x:c r="C4" s="7" t="str">
        <x:v>权重</x:v>
      </x:c>
      <x:c r="D4" s="7" t="str">
        <x:v>个人指标权重，合计1</x:v>
      </x:c>
    </x:row>
    <x:row r="5" ht="22" customHeight="1">
      <x:c r="A5" s="7" t="str">
        <x:v>employee_weight_sales</x:v>
      </x:c>
      <x:c r="B5" s="7" t="n">
        <x:v>0.3</x:v>
      </x:c>
      <x:c r="C5" s="7" t="str">
        <x:v>权重</x:v>
      </x:c>
      <x:c r="D5" s="7" t="str">
        <x:v>个人指标权重，合计1</x:v>
      </x:c>
    </x:row>
    <x:row r="6" ht="22" customHeight="1">
      <x:c r="A6" s="7" t="str">
        <x:v>employee_weight_count</x:v>
      </x:c>
      <x:c r="B6" s="7" t="n">
        <x:v>0.1</x:v>
      </x:c>
      <x:c r="C6" s="7" t="str">
        <x:v>权重</x:v>
      </x:c>
      <x:c r="D6" s="7" t="str">
        <x:v>个人指标权重，合计1</x:v>
      </x:c>
    </x:row>
    <x:row r="7" ht="22" customHeight="1">
      <x:c r="A7" s="7" t="str">
        <x:v>employee_weight_output</x:v>
      </x:c>
      <x:c r="B7" s="7" t="n">
        <x:v>0.15</x:v>
      </x:c>
      <x:c r="C7" s="7" t="str">
        <x:v>权重</x:v>
      </x:c>
      <x:c r="D7" s="7" t="str">
        <x:v>个人指标权重，合计1</x:v>
      </x:c>
    </x:row>
    <x:row r="8" ht="22" customHeight="1">
      <x:c r="A8" s="7" t="str">
        <x:v>profit_rate</x:v>
      </x:c>
      <x:c r="B8" s="7" t="n">
        <x:v>0.05</x:v>
      </x:c>
      <x:c r="C8" s="7" t="str">
        <x:v>比例</x:v>
      </x:c>
      <x:c r="D8" s="7" t="str">
        <x:v>部门净利润合计后取非负</x:v>
      </x:c>
    </x:row>
    <x:row r="9" ht="22" customHeight="1">
      <x:c r="A9" s="7" t="str">
        <x:v>group_completion_cap</x:v>
      </x:c>
      <x:c r="B9" s="7" t="n">
        <x:v>1.2</x:v>
      </x:c>
      <x:c r="C9" s="7" t="str">
        <x:v>倍</x:v>
      </x:c>
      <x:c r="D9" s="7" t="str">
        <x:v>小组完成率封顶</x:v>
      </x:c>
    </x:row>
    <x:row r="10" ht="22" customHeight="1">
      <x:c r="A10" s="7" t="str">
        <x:v>employee_sales_cap</x:v>
      </x:c>
      <x:c r="B10" s="7" t="n">
        <x:v>1.5</x:v>
      </x:c>
      <x:c r="C10" s="7" t="str">
        <x:v>倍</x:v>
      </x:c>
      <x:c r="D10" s="7" t="str">
        <x:v>个人完成率封顶</x:v>
      </x:c>
    </x:row>
    <x:row r="11" ht="22" customHeight="1">
      <x:c r="A11" s="7" t="str">
        <x:v>tenure_cap</x:v>
      </x:c>
      <x:c r="B11" s="7" t="n">
        <x:v>5</x:v>
      </x:c>
      <x:c r="C11" s="7" t="str">
        <x:v>整年</x:v>
      </x:c>
      <x:c r="D11" s="7" t="str">
        <x:v>工龄归一化上限</x:v>
      </x:c>
    </x:row>
    <x:row r="12" ht="22" customHeight="1">
      <x:c r="A12" s="7" t="str">
        <x:v>project_count_cap</x:v>
      </x:c>
      <x:c r="B12" s="7" t="n">
        <x:v>8</x:v>
      </x:c>
      <x:c r="C12" s="7" t="str">
        <x:v>个</x:v>
      </x:c>
      <x:c r="D12" s="7" t="str">
        <x:v>项目数归一化上限</x:v>
      </x:c>
    </x:row>
    <x:row r="13" ht="22" customHeight="1">
      <x:c r="A13" s="7" t="str">
        <x:v>weight_scale</x:v>
      </x:c>
      <x:c r="B13" s="7" t="n">
        <x:v>6</x:v>
      </x:c>
      <x:c r="C13" s="7" t="str">
        <x:v>小数位</x:v>
      </x:c>
      <x:c r="D13" s="7" t="str">
        <x:v>个人与小组权重保留位数</x:v>
      </x:c>
    </x:row>
    <x:row r="14" ht="22" customHeight="1">
      <x:c r="A14" s="7" t="str">
        <x:v>q_lower_0</x:v>
      </x:c>
      <x:c r="B14" s="7" t="n">
        <x:v>0</x:v>
      </x:c>
      <x:c r="C14" s="7" t="str">
        <x:v>元</x:v>
      </x:c>
      <x:c r="D14" s="7" t="str">
        <x:v>全额阶梯下界</x:v>
      </x:c>
    </x:row>
    <x:row r="15" ht="22" customHeight="1">
      <x:c r="A15" s="7" t="str">
        <x:v>q_rate_0</x:v>
      </x:c>
      <x:c r="B15" s="7" t="n">
        <x:v>0.08</x:v>
      </x:c>
      <x:c r="C15" s="7" t="str">
        <x:v>比例</x:v>
      </x:c>
      <x:c r="D15" s="7" t="str">
        <x:v>全额阶梯比例</x:v>
      </x:c>
    </x:row>
    <x:row r="16" ht="22" customHeight="1">
      <x:c r="A16" s="7" t="str">
        <x:v>q_lower_1</x:v>
      </x:c>
      <x:c r="B16" s="7" t="n">
        <x:v>10000000</x:v>
      </x:c>
      <x:c r="C16" s="7" t="str">
        <x:v>元</x:v>
      </x:c>
      <x:c r="D16" s="7" t="str">
        <x:v>全额阶梯下界</x:v>
      </x:c>
    </x:row>
    <x:row r="17" ht="22" customHeight="1">
      <x:c r="A17" s="7" t="str">
        <x:v>q_rate_1</x:v>
      </x:c>
      <x:c r="B17" s="7" t="n">
        <x:v>0.1</x:v>
      </x:c>
      <x:c r="C17" s="7" t="str">
        <x:v>比例</x:v>
      </x:c>
      <x:c r="D17" s="7" t="str">
        <x:v>全额阶梯比例</x:v>
      </x:c>
    </x:row>
    <x:row r="18" ht="22" customHeight="1">
      <x:c r="A18" s="7" t="str">
        <x:v>q_lower_2</x:v>
      </x:c>
      <x:c r="B18" s="7" t="n">
        <x:v>20000000</x:v>
      </x:c>
      <x:c r="C18" s="7" t="str">
        <x:v>元</x:v>
      </x:c>
      <x:c r="D18" s="7" t="str">
        <x:v>全额阶梯下界</x:v>
      </x:c>
    </x:row>
    <x:row r="19" ht="22" customHeight="1">
      <x:c r="A19" s="7" t="str">
        <x:v>q_rate_2</x:v>
      </x:c>
      <x:c r="B19" s="7" t="n">
        <x:v>0.12</x:v>
      </x:c>
      <x:c r="C19" s="7" t="str">
        <x:v>比例</x:v>
      </x:c>
      <x:c r="D19" s="7" t="str">
        <x:v>全额阶梯比例</x:v>
      </x:c>
    </x:row>
    <x:row r="20" ht="22" customHeight="1">
      <x:c r="A20" s="7" t="str">
        <x:v>a_lower_0</x:v>
      </x:c>
      <x:c r="B20" s="7" t="n">
        <x:v>0</x:v>
      </x:c>
      <x:c r="C20" s="7" t="str">
        <x:v>元</x:v>
      </x:c>
      <x:c r="D20" s="7" t="str">
        <x:v>分段阶梯下界</x:v>
      </x:c>
    </x:row>
    <x:row r="21" ht="22" customHeight="1">
      <x:c r="A21" s="7" t="str">
        <x:v>a_rate_0</x:v>
      </x:c>
      <x:c r="B21" s="7" t="n">
        <x:v>0.05</x:v>
      </x:c>
      <x:c r="C21" s="7" t="str">
        <x:v>比例</x:v>
      </x:c>
      <x:c r="D21" s="7" t="str">
        <x:v>分段阶梯比例</x:v>
      </x:c>
    </x:row>
    <x:row r="22" ht="22" customHeight="1">
      <x:c r="A22" s="7" t="str">
        <x:v>a_lower_1</x:v>
      </x:c>
      <x:c r="B22" s="7" t="n">
        <x:v>10000000</x:v>
      </x:c>
      <x:c r="C22" s="7" t="str">
        <x:v>元</x:v>
      </x:c>
      <x:c r="D22" s="7" t="str">
        <x:v>分段阶梯下界</x:v>
      </x:c>
    </x:row>
    <x:row r="23" ht="22" customHeight="1">
      <x:c r="A23" s="7" t="str">
        <x:v>a_rate_1</x:v>
      </x:c>
      <x:c r="B23" s="7" t="n">
        <x:v>0.08</x:v>
      </x:c>
      <x:c r="C23" s="7" t="str">
        <x:v>比例</x:v>
      </x:c>
      <x:c r="D23" s="7" t="str">
        <x:v>分段阶梯比例</x:v>
      </x:c>
    </x:row>
    <x:row r="24" ht="22" customHeight="1">
      <x:c r="A24" s="7" t="str">
        <x:v>a_lower_2</x:v>
      </x:c>
      <x:c r="B24" s="7" t="n">
        <x:v>20000000</x:v>
      </x:c>
      <x:c r="C24" s="7" t="str">
        <x:v>元</x:v>
      </x:c>
      <x:c r="D24" s="7" t="str">
        <x:v>分段阶梯下界</x:v>
      </x:c>
    </x:row>
    <x:row r="25" ht="22" customHeight="1">
      <x:c r="A25" s="7" t="str">
        <x:v>a_rate_2</x:v>
      </x:c>
      <x:c r="B25" s="7" t="n">
        <x:v>0.1</x:v>
      </x:c>
      <x:c r="C25" s="7" t="str">
        <x:v>比例</x:v>
      </x:c>
      <x:c r="D25" s="7" t="str">
        <x:v>分段阶梯比例</x:v>
      </x:c>
    </x:row>
    <x:row r="26" ht="22" customHeight="1">
      <x:c r="A26" s="7" t="str">
        <x:v>c_lower_0</x:v>
      </x:c>
      <x:c r="B26" s="7" t="n">
        <x:v>0</x:v>
      </x:c>
      <x:c r="C26" s="7" t="str">
        <x:v>比例</x:v>
      </x:c>
      <x:c r="D26" s="7" t="str">
        <x:v>完成率下界</x:v>
      </x:c>
    </x:row>
    <x:row r="27" ht="22" customHeight="1">
      <x:c r="A27" s="7" t="str">
        <x:v>c_coef_0</x:v>
      </x:c>
      <x:c r="B27" s="7" t="n">
        <x:v>0.8</x:v>
      </x:c>
      <x:c r="C27" s="7" t="str">
        <x:v>系数</x:v>
      </x:c>
      <x:c r="D27" s="7" t="str">
        <x:v>部门完成系数</x:v>
      </x:c>
    </x:row>
    <x:row r="28" ht="22" customHeight="1">
      <x:c r="A28" s="7" t="str">
        <x:v>c_lower_1</x:v>
      </x:c>
      <x:c r="B28" s="7" t="n">
        <x:v>0.8</x:v>
      </x:c>
      <x:c r="C28" s="7" t="str">
        <x:v>比例</x:v>
      </x:c>
      <x:c r="D28" s="7" t="str">
        <x:v>完成率下界</x:v>
      </x:c>
    </x:row>
    <x:row r="29" ht="22" customHeight="1">
      <x:c r="A29" s="7" t="str">
        <x:v>c_coef_1</x:v>
      </x:c>
      <x:c r="B29" s="7" t="n">
        <x:v>1</x:v>
      </x:c>
      <x:c r="C29" s="7" t="str">
        <x:v>系数</x:v>
      </x:c>
      <x:c r="D29" s="7" t="str">
        <x:v>部门完成系数</x:v>
      </x:c>
    </x:row>
    <x:row r="30" ht="22" customHeight="1">
      <x:c r="A30" s="7" t="str">
        <x:v>c_lower_2</x:v>
      </x:c>
      <x:c r="B30" s="7" t="n">
        <x:v>1</x:v>
      </x:c>
      <x:c r="C30" s="7" t="str">
        <x:v>比例</x:v>
      </x:c>
      <x:c r="D30" s="7" t="str">
        <x:v>完成率下界</x:v>
      </x:c>
    </x:row>
    <x:row r="31" ht="22" customHeight="1">
      <x:c r="A31" s="7" t="str">
        <x:v>c_coef_2</x:v>
      </x:c>
      <x:c r="B31" s="7" t="n">
        <x:v>1.1</x:v>
      </x:c>
      <x:c r="C31" s="7" t="str">
        <x:v>系数</x:v>
      </x:c>
      <x:c r="D31" s="7" t="str">
        <x:v>部门完成系数</x:v>
      </x:c>
    </x:row>
  </x:sheetData>
  <x:pageMargins left="0.7" right="0.7" top="0.75" bottom="0.75" header="0.3" footer="0.3"/>
  <x:tableParts count="1">
    <x:tablePart xmlns:r="http://schemas.openxmlformats.org/officeDocument/2006/relationships" r:id="R66758f53b87a49f8"/>
  </x:tableParts>
</x:worksheet>
</file>